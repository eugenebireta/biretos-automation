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Евгений\Desktop\для работы\Python\wordstat\"/>
    </mc:Choice>
  </mc:AlternateContent>
  <xr:revisionPtr revIDLastSave="0" documentId="13_ncr:1_{A8E6A691-E827-427A-899E-CD75F9C347F1}" xr6:coauthVersionLast="47" xr6:coauthVersionMax="47" xr10:uidLastSave="{00000000-0000-0000-0000-000000000000}"/>
  <bookViews>
    <workbookView xWindow="30612" yWindow="-108" windowWidth="23256" windowHeight="12456" activeTab="1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2" i="2" l="1" a="1"/>
  <c r="F52" i="2" s="1"/>
  <c r="F53" i="2" a="1"/>
  <c r="F53" i="2" s="1"/>
  <c r="F55" i="2" a="1"/>
  <c r="F55" i="2" s="1"/>
  <c r="F56" i="2" a="1"/>
  <c r="F56" i="2" s="1"/>
  <c r="F57" i="2" a="1"/>
  <c r="F57" i="2" s="1"/>
  <c r="F58" i="2" a="1"/>
  <c r="F58" i="2" s="1"/>
  <c r="F59" i="2" a="1"/>
  <c r="F59" i="2" s="1"/>
  <c r="F60" i="2" a="1"/>
  <c r="F60" i="2" s="1"/>
  <c r="F51" i="2" a="1"/>
  <c r="F51" i="2" s="1"/>
  <c r="F2" i="2" a="1"/>
  <c r="F2" i="2" s="1"/>
  <c r="F3" i="2" a="1"/>
  <c r="F3" i="2" s="1"/>
  <c r="F4" i="2" a="1"/>
  <c r="F4" i="2" s="1"/>
  <c r="F5" i="2" a="1"/>
  <c r="F5" i="2" s="1"/>
  <c r="F6" i="2" a="1"/>
  <c r="F6" i="2" s="1"/>
  <c r="F7" i="2" a="1"/>
  <c r="F7" i="2" s="1"/>
  <c r="F8" i="2" a="1"/>
  <c r="F8" i="2" s="1"/>
  <c r="F9" i="2" a="1"/>
  <c r="F9" i="2" s="1"/>
  <c r="F10" i="2" a="1"/>
  <c r="F10" i="2" s="1"/>
  <c r="F11" i="2" a="1"/>
  <c r="F11" i="2" s="1"/>
  <c r="F12" i="2" a="1"/>
  <c r="F12" i="2" s="1"/>
  <c r="F13" i="2" a="1"/>
  <c r="F13" i="2" s="1"/>
  <c r="F14" i="2" a="1"/>
  <c r="F14" i="2" s="1"/>
  <c r="F15" i="2" a="1"/>
  <c r="F15" i="2" s="1"/>
  <c r="F16" i="2" a="1"/>
  <c r="F16" i="2" s="1"/>
  <c r="F17" i="2" a="1"/>
  <c r="F17" i="2" s="1"/>
  <c r="F18" i="2" a="1"/>
  <c r="F18" i="2" s="1"/>
  <c r="F19" i="2" a="1"/>
  <c r="F19" i="2" s="1"/>
  <c r="F20" i="2" a="1"/>
  <c r="F20" i="2" s="1"/>
  <c r="F21" i="2" a="1"/>
  <c r="F21" i="2" s="1"/>
  <c r="F22" i="2" a="1"/>
  <c r="F22" i="2" s="1"/>
  <c r="F23" i="2" a="1"/>
  <c r="F23" i="2" s="1"/>
  <c r="F24" i="2" a="1"/>
  <c r="F24" i="2" s="1"/>
  <c r="F25" i="2" a="1"/>
  <c r="F25" i="2" s="1"/>
  <c r="F26" i="2" a="1"/>
  <c r="F26" i="2" s="1"/>
  <c r="F27" i="2" a="1"/>
  <c r="F27" i="2" s="1"/>
  <c r="F28" i="2" a="1"/>
  <c r="F28" i="2" s="1"/>
  <c r="F29" i="2" a="1"/>
  <c r="F29" i="2" s="1"/>
  <c r="F30" i="2" a="1"/>
  <c r="F30" i="2" s="1"/>
  <c r="F31" i="2" a="1"/>
  <c r="F31" i="2" s="1"/>
  <c r="F32" i="2" a="1"/>
  <c r="F32" i="2" s="1"/>
  <c r="F34" i="2" a="1"/>
  <c r="F34" i="2" s="1"/>
  <c r="F35" i="2" a="1"/>
  <c r="F35" i="2" s="1"/>
  <c r="F36" i="2" a="1"/>
  <c r="F36" i="2" s="1"/>
  <c r="F38" i="2" a="1"/>
  <c r="F38" i="2" s="1"/>
  <c r="F39" i="2" a="1"/>
  <c r="F39" i="2" s="1"/>
  <c r="F40" i="2" a="1"/>
  <c r="F40" i="2" s="1"/>
  <c r="F41" i="2" a="1"/>
  <c r="F41" i="2" s="1"/>
  <c r="F42" i="2" a="1"/>
  <c r="F42" i="2" s="1"/>
  <c r="F43" i="2" a="1"/>
  <c r="F43" i="2" s="1"/>
  <c r="F44" i="2" a="1"/>
  <c r="F44" i="2" s="1"/>
  <c r="F45" i="2" a="1"/>
  <c r="F45" i="2" s="1"/>
  <c r="F46" i="2" a="1"/>
  <c r="F46" i="2" s="1"/>
  <c r="F47" i="2" a="1"/>
  <c r="F47" i="2" s="1"/>
  <c r="F48" i="2" a="1"/>
  <c r="F48" i="2" s="1"/>
  <c r="F49" i="2" a="1"/>
  <c r="F49" i="2" s="1"/>
  <c r="F50" i="2" a="1"/>
  <c r="F50" i="2" s="1"/>
  <c r="F1" i="2" a="1"/>
  <c r="F1" i="2" s="1"/>
  <c r="B31" i="1" a="1"/>
  <c r="B31" i="1" s="1"/>
  <c r="B32" i="1" a="1"/>
  <c r="B32" i="1" s="1"/>
  <c r="B33" i="1" a="1"/>
  <c r="B33" i="1" s="1"/>
  <c r="B34" i="1" a="1"/>
  <c r="B34" i="1" s="1"/>
  <c r="B35" i="1" a="1"/>
  <c r="B35" i="1" s="1"/>
  <c r="B36" i="1" a="1"/>
  <c r="B36" i="1" s="1"/>
  <c r="B37" i="1" a="1"/>
  <c r="B37" i="1" s="1"/>
  <c r="B38" i="1" a="1"/>
  <c r="B38" i="1" s="1"/>
  <c r="B39" i="1" a="1"/>
  <c r="B39" i="1" s="1"/>
  <c r="B40" i="1" a="1"/>
  <c r="B40" i="1" s="1"/>
  <c r="B41" i="1" a="1"/>
  <c r="B41" i="1" s="1"/>
  <c r="B42" i="1" a="1"/>
  <c r="B42" i="1" s="1"/>
  <c r="B43" i="1" a="1"/>
  <c r="B43" i="1" s="1"/>
  <c r="B44" i="1" a="1"/>
  <c r="B44" i="1" s="1"/>
  <c r="B45" i="1" a="1"/>
  <c r="B45" i="1" s="1"/>
  <c r="B46" i="1" a="1"/>
  <c r="B46" i="1" s="1"/>
  <c r="B47" i="1" a="1"/>
  <c r="B47" i="1" s="1"/>
  <c r="B48" i="1" a="1"/>
  <c r="B48" i="1" s="1"/>
  <c r="B49" i="1" a="1"/>
  <c r="B49" i="1" s="1"/>
  <c r="B50" i="1" a="1"/>
  <c r="B50" i="1" s="1"/>
  <c r="B51" i="1" a="1"/>
  <c r="B51" i="1" s="1"/>
  <c r="B52" i="1" a="1"/>
  <c r="B52" i="1" s="1"/>
  <c r="B53" i="1" a="1"/>
  <c r="B53" i="1" s="1"/>
  <c r="B54" i="1" a="1"/>
  <c r="B54" i="1" s="1"/>
  <c r="B55" i="1" a="1"/>
  <c r="B55" i="1" s="1"/>
  <c r="B56" i="1" a="1"/>
  <c r="B56" i="1" s="1"/>
  <c r="B57" i="1" a="1"/>
  <c r="B57" i="1" s="1"/>
  <c r="B58" i="1" a="1"/>
  <c r="B58" i="1" s="1"/>
  <c r="B59" i="1" a="1"/>
  <c r="B59" i="1" s="1"/>
  <c r="B60" i="1" a="1"/>
  <c r="B60" i="1" s="1"/>
  <c r="B11" i="1" a="1"/>
  <c r="B11" i="1" s="1"/>
  <c r="B13" i="1" a="1"/>
  <c r="B13" i="1" s="1"/>
  <c r="B14" i="1" a="1"/>
  <c r="B14" i="1" s="1"/>
  <c r="B15" i="1" a="1"/>
  <c r="B15" i="1" s="1"/>
  <c r="B16" i="1" a="1"/>
  <c r="B16" i="1" s="1"/>
  <c r="B17" i="1" a="1"/>
  <c r="B17" i="1" s="1"/>
  <c r="B18" i="1" a="1"/>
  <c r="B18" i="1" s="1"/>
  <c r="B19" i="1" a="1"/>
  <c r="B19" i="1" s="1"/>
  <c r="B20" i="1" a="1"/>
  <c r="B20" i="1" s="1"/>
  <c r="B21" i="1" a="1"/>
  <c r="B21" i="1" s="1"/>
  <c r="B22" i="1" a="1"/>
  <c r="B22" i="1" s="1"/>
  <c r="B23" i="1" a="1"/>
  <c r="B23" i="1" s="1"/>
  <c r="B24" i="1" a="1"/>
  <c r="B24" i="1" s="1"/>
  <c r="B25" i="1" a="1"/>
  <c r="B25" i="1" s="1"/>
  <c r="B26" i="1" a="1"/>
  <c r="B26" i="1" s="1"/>
  <c r="B27" i="1" a="1"/>
  <c r="B27" i="1" s="1"/>
  <c r="B28" i="1" a="1"/>
  <c r="B28" i="1" s="1"/>
  <c r="B29" i="1" a="1"/>
  <c r="B29" i="1" s="1"/>
  <c r="B30" i="1" a="1"/>
  <c r="B30" i="1" s="1"/>
  <c r="B2" i="1" a="1"/>
  <c r="B2" i="1" s="1"/>
  <c r="B3" i="1" a="1"/>
  <c r="B3" i="1" s="1"/>
  <c r="B4" i="1" a="1"/>
  <c r="B4" i="1" s="1"/>
  <c r="B5" i="1" a="1"/>
  <c r="B5" i="1" s="1"/>
  <c r="B6" i="1" a="1"/>
  <c r="B6" i="1" s="1"/>
  <c r="B7" i="1" a="1"/>
  <c r="B7" i="1" s="1"/>
  <c r="B8" i="1" a="1"/>
  <c r="B8" i="1" s="1"/>
  <c r="B9" i="1" a="1"/>
  <c r="B9" i="1" s="1"/>
  <c r="B10" i="1" a="1"/>
  <c r="B10" i="1" s="1"/>
  <c r="B1" i="1" a="1"/>
  <c r="B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<sst xmlns="http://schemas.openxmlformats.org/spreadsheetml/2006/main" count="249" uniqueCount="174">
  <si>
    <t>Сервомотор Siemens simotics 1FT6108- 8AF71-3AG0</t>
  </si>
  <si>
    <t>Контактор Schneider Electric tesys LC1F400M7</t>
  </si>
  <si>
    <t>Контактор IEK КТИ-5185</t>
  </si>
  <si>
    <t>Контактор Siemens 3RT1035-1AP04</t>
  </si>
  <si>
    <t>Автомат Changshu CW2-1600</t>
  </si>
  <si>
    <t>Автомат Schneider Masterpact NT16H13PEDO5.0E (без модуля)</t>
  </si>
  <si>
    <t>Мотор-автомат Siemens 3RV1011- 1CA15</t>
  </si>
  <si>
    <t>Мотор-автомат Siemens 3RV1131- 4EA10</t>
  </si>
  <si>
    <t>Автомат Record Plus FGL306F400LF</t>
  </si>
  <si>
    <t>Автомат Record Plus FEN36TD200K</t>
  </si>
  <si>
    <t>Автомат Record D630 3P SD 716030</t>
  </si>
  <si>
    <t>Выключатель-разъединитель Dilos4 3P 500</t>
  </si>
  <si>
    <t>Модуль питания ПЛК Schneider Modicon 140CPS11420</t>
  </si>
  <si>
    <t>Siemens кабель 6FX8002-5CA11-1BF0</t>
  </si>
  <si>
    <t>Siemens 6ES7131-4BD01-0AB0</t>
  </si>
  <si>
    <t>Siemens 6ES7131-4BF50-0AA0</t>
  </si>
  <si>
    <t>Siemens 6ES7132-4BD01-0AA0</t>
  </si>
  <si>
    <t>Siemens 6ES7193-4CA50-0AA0</t>
  </si>
  <si>
    <t>Предохранитель Siemens Sitor 3NE1803- 0</t>
  </si>
  <si>
    <t>Предохранитель Siemens 3NE3336</t>
  </si>
  <si>
    <t>Предохранитель Siemens 3NE4121</t>
  </si>
  <si>
    <t>Предохранитель Siemens 5SD440</t>
  </si>
  <si>
    <t>Предохранитель Siemens 3NE4101</t>
  </si>
  <si>
    <t>Предохранитель Siemens 3NE1224-0</t>
  </si>
  <si>
    <t>Предохранитель Siemens 3NW6001-1</t>
  </si>
  <si>
    <t>Предохранитель Siemens 3NE1818-0</t>
  </si>
  <si>
    <t>Предохранитель Siemens 3NA3817</t>
  </si>
  <si>
    <t>Предохранитель Siemens 3NW6012-1</t>
  </si>
  <si>
    <t>Предохранитель Siemens 3NW6224-1</t>
  </si>
  <si>
    <t>Предохранитель Siemens 3NE4124</t>
  </si>
  <si>
    <t>3NE1021-0 (100 ампер 690 вольт)</t>
  </si>
  <si>
    <t>3NE1820-0 (80 ампер 690 Вольт)</t>
  </si>
  <si>
    <t>Датчик индуктивный Siemens 3RG4014- 3AG01</t>
  </si>
  <si>
    <t>Датчик ультразвуковой Honeywell 940- F4X-2D-001-180E</t>
  </si>
  <si>
    <t>Карта+модуль Siemens 6ES5374-2KK21</t>
  </si>
  <si>
    <t>Кнопка аварийная грибовидная поворотная д.60 ABHT1C6S</t>
  </si>
  <si>
    <t>Кнопка 3WL9111-0AJ02-0AA0</t>
  </si>
  <si>
    <t>Индикатор сигнальный желтый ALIL3L220</t>
  </si>
  <si>
    <t>Индикатор сигнальный зеленый ALIL2L220</t>
  </si>
  <si>
    <t>Индикатор сигнальный красный ALIL1L220</t>
  </si>
  <si>
    <t>Вентилятор осевой ВО-2,5-220 с к/ж 0,016*1500</t>
  </si>
  <si>
    <t>Переключатель 4G10-75U-R014</t>
  </si>
  <si>
    <t>Переключатель Lovato - 25а 2 положения</t>
  </si>
  <si>
    <t>Переключатель Lovato -25а 7 GN25 8828 U</t>
  </si>
  <si>
    <t>Переключатель ПЕ 021/1</t>
  </si>
  <si>
    <t>Рама стальная G6*1 primed</t>
  </si>
  <si>
    <t>Реле РП-21 003 220В 50Гц</t>
  </si>
  <si>
    <t>Реле РТЛ-1006 0,95-1,6А</t>
  </si>
  <si>
    <t>Реле LZS:PT5A5L24</t>
  </si>
  <si>
    <t>Частотомер 45-55Гц 220В Ц42304</t>
  </si>
  <si>
    <t>Клемма-предохранитель
8WA20111SG23</t>
  </si>
  <si>
    <t>Проводники для заземления 10 мм2 SH- SAR21725-00</t>
  </si>
  <si>
    <t>Пускатель CTX0620 666163</t>
  </si>
  <si>
    <t>Термостат Siemens 8MR2170-1BB</t>
  </si>
  <si>
    <t>Блок контактный ACVL0</t>
  </si>
  <si>
    <t>Блок контактный CAL4-11
1SBN010120R1011</t>
  </si>
  <si>
    <t>Блок контактный правый 2НО BCLL20
104706</t>
  </si>
  <si>
    <t>Доп. контакт Siemens 3VL9800-2AE00 (VL630 и др.)</t>
  </si>
  <si>
    <t>Автомат GT25 1P 6A</t>
  </si>
  <si>
    <t>Автомат Siemens 5SY6106-7 1P 6A</t>
  </si>
  <si>
    <t>Dilos4 3P 500</t>
  </si>
  <si>
    <t>https://www.chipdip.ru/product0/8004359018</t>
  </si>
  <si>
    <t>https://www.chipdip.ru/product0/8037516317</t>
  </si>
  <si>
    <t>https://3ql.ru/catalog/1FT61088AF713AG1.ht ml</t>
  </si>
  <si>
    <t>https://tek- el.ru/item/579031?srsltid=AfmBOorhbz5aMa M3aKYfqJ86yZA1aWT9IGTrLFo-XdrB- 4bMROE4sG0p</t>
  </si>
  <si>
    <t>https://www.etm.ru/cat/nn/9535056</t>
  </si>
  <si>
    <t>https://www.ebay.com/itm/143674319678</t>
  </si>
  <si>
    <t>https://www.sktech.ru/avtomaticheskie- vyklyuchateli/modulnie/61067-1polus-6a-c/</t>
  </si>
  <si>
    <t>https://3ql.ru/catalog/3RV10111CA15.html</t>
  </si>
  <si>
    <t>https://3ql.ru/catalog/3RV11314EA10.html</t>
  </si>
  <si>
    <t>https://electroguru.ru/plavkie- vstavki/siemens/20419/?srsltid=AfmBOor8RD0 DDkEsvEHJFOyXJ3wzZ5ve88PgS7y7ElwSMrSnL Nuvy2Y-</t>
  </si>
  <si>
    <t>https://rospolus.ru/modular_components/po wer_cb/pcb_0353.html</t>
  </si>
  <si>
    <t>https://www.chipdip.ru/product0/8038876363</t>
  </si>
  <si>
    <t>https://www.ebay.com/itm/273099474374</t>
  </si>
  <si>
    <t>https://www.ebay.com/itm/294161418570</t>
  </si>
  <si>
    <t>https://electroguru.ru/plavkie- vstavki/siemens/20389/</t>
  </si>
  <si>
    <t>https://www.ebay.com/itm/196338056900</t>
  </si>
  <si>
    <t>https://aliexpress.ru/item/1005004196136183. html?utm_referrer=https%3A%2F%2Fwww.go ogle.com%2F&amp;sku_id=12000028346525586</t>
  </si>
  <si>
    <t>https://www.ebay.com/itm/186662468775</t>
  </si>
  <si>
    <t>https://electroguru.ru/plavkie- vstavki/siemens/20464/?srsltid=AfmBOopJAET-</t>
  </si>
  <si>
    <t>https://electroguru.ru/plavkie- vstavki/siemens/20384/?srsltid=AfmBOoobYDi LWpa7UrJbRKWIbPnm3aFDcVBRpHYB-A- 9AjUa5lmHpRYB</t>
  </si>
  <si>
    <t>https://3ql.ru/catalog/3NE3336.html</t>
  </si>
  <si>
    <t>https://www.chipdip.ru/product0/8034444089</t>
  </si>
  <si>
    <t>https://electroguru.ru/plavkie- vstavki/siemens/20425/?srsltid=AfmBOorlA8N Gulvc- Wza0sufoJhblhQoCOXJaNDFZbxzdr6vZE14n sbc</t>
  </si>
  <si>
    <t>https://3ql.ru/catalog/3VL98002AE00.html</t>
  </si>
  <si>
    <t>https://www.chipdip.ru/product0/8038874241</t>
  </si>
  <si>
    <t>https://www.dkcmarket.ru/alil3l220.html</t>
  </si>
  <si>
    <t>https://electroguru.ru/plavkie- vstavki/siemens/20461/</t>
  </si>
  <si>
    <t>https://electroguru.ru/plavkie- vstavki/siemens/20424/</t>
  </si>
  <si>
    <t>https://www.ebay.com/itm/304288747938</t>
  </si>
  <si>
    <t>https://www.etm.ru/cat/nn/9757309</t>
  </si>
  <si>
    <t>https://www.chipdip.ru/product0/8023410698</t>
  </si>
  <si>
    <t>http://www.aksprom.biz/Catalog/General%20 Electric/36267/Dilos-4-vykljuchateli-nagruzki- dlja-montazha-na-stene</t>
  </si>
  <si>
    <t>https://3ql.ru/catalog/3RT10351AP04.html</t>
  </si>
  <si>
    <t>https://www.chipdip.ru/product0/8031416657</t>
  </si>
  <si>
    <t>https://www.dkcmarket.ru/abht1c6s.html</t>
  </si>
  <si>
    <t>https://rowen.ru/catalog/offers/ventilyator_os evoy_vo_2_5_220zh_1f_220_16_vt_1500_ob_ min/?srsltid=AfmBOopSwOP9BXr1IlO6A5YnaI0 sSEOHgWeAnsLvjQECGkujjobmbOKT</t>
  </si>
  <si>
    <t>https://axxacnc.com/proximity-sensor-3rg4014- 3ag01-siemens/</t>
  </si>
  <si>
    <t>https://www.chipdip.ru/product0/8024842329</t>
  </si>
  <si>
    <t>https://electroguru.ru/plavkie- vstavki/siemens/12327/?srsltid=AfmBOopvLnL 70pSuu-6LUap- Vsb4ZkNOiIerkmKJKEByQPcLcKiukbKF</t>
  </si>
  <si>
    <t>https://tek- el.ru/item/1029028?srsltid=AfmBOookC9ZKSm q9zXK56Ea--
o7GnZl2KNzBAdX8VC5leeyxHsAK6u_u</t>
  </si>
  <si>
    <t>https://industrie24.com/en/products/siemens- 3ne4101-sicherungseinsatz-sitor-32%D0%B0- ve-3stk-sicherung- einsatz?srsltid=AfmBOooPjbDEV0Uuu0cirXVD QwtJJHT4BSKvmQtS-dYF09jdzOeMp4F1</t>
  </si>
  <si>
    <t>https://www.etm.ru/cat/nn/3359235?srsltid=A fmBOorG3fODvZKMJuH0CTbLpVHQFE4bheCx- IteCj3IGmWmPxHJnwNS</t>
  </si>
  <si>
    <t>https://profsector.com/component/556212/3 wl9111-0aj02-0aa0-dlya-elektricheskogo-vkl-s- plombiruemoy-kryishkoy</t>
  </si>
  <si>
    <t>https://cabeus.ru/catalog/elektricheskie- seti/provoda-zazemleniya/</t>
  </si>
  <si>
    <t>https://electroguru.ru/plavkie- vstavki/siemens/20661/?srsltid=AfmBOopvSaq QSQRJPfZb5MjRkIrblPdUxJ1ZuFfDM1hucvh- JBhSz_1_</t>
  </si>
  <si>
    <t>https://roxtec-ural.ru/stalnaya-rama-g-6x1-ex- primed/</t>
  </si>
  <si>
    <t>https://amitron- ek.ru/catalog/lovato_electric_italiya/kulachko vye-vyklyuchateli-4017/vyklyuchateli- pereklyuchateli-serii-gn-spetsialnoe-ispolnenie-</t>
  </si>
  <si>
    <t>https://www.texenergo.ru/catalog/item.html/ te00000977</t>
  </si>
  <si>
    <t>https://www.texenergo.ru/catalog/item.html/ te00002950</t>
  </si>
  <si>
    <t>https://elgamma.ru/rele-teplovoe-rtl-1006-0- 95-1-6a/?srsltid=AfmBOorxNrYQEmg_Ry- OIxR2aolMhkG4i5k7cRHLzHxuQwuzJkFCeBIF</t>
  </si>
  <si>
    <t>-</t>
  </si>
  <si>
    <t>D/061445-201</t>
  </si>
  <si>
    <t>ВО-2,5-220</t>
  </si>
  <si>
    <t>ACVL02</t>
  </si>
  <si>
    <t>+</t>
  </si>
  <si>
    <t>140CPS11420</t>
  </si>
  <si>
    <t>LC1F400M7</t>
  </si>
  <si>
    <t>Not found.</t>
  </si>
  <si>
    <t>NT16H13PEDO5.0E</t>
  </si>
  <si>
    <t>716030</t>
  </si>
  <si>
    <t>FEN36TD200K</t>
  </si>
  <si>
    <t>FGL306F400LF</t>
  </si>
  <si>
    <t>3NE4124</t>
  </si>
  <si>
    <t>3NE3336</t>
  </si>
  <si>
    <t>ALIL1L220</t>
  </si>
  <si>
    <t>ALIL2L220</t>
  </si>
  <si>
    <t>3NE4121</t>
  </si>
  <si>
    <t>5SD440</t>
  </si>
  <si>
    <t>ABHT1C6S</t>
  </si>
  <si>
    <t>LZS:PT5A5L24</t>
  </si>
  <si>
    <t>3NE4101</t>
  </si>
  <si>
    <t>ALIL3L220</t>
  </si>
  <si>
    <t>3NA3817</t>
  </si>
  <si>
    <t>G6*1</t>
  </si>
  <si>
    <t>GN25 8828 U</t>
  </si>
  <si>
    <t>PE 021/1</t>
  </si>
  <si>
    <t>1SBN010120R1011</t>
  </si>
  <si>
    <t>8WA20111SG23</t>
  </si>
  <si>
    <t>GT25 1P 6A</t>
  </si>
  <si>
    <t>Ц42304</t>
  </si>
  <si>
    <t>6ES7193+4CA50+0AA0</t>
  </si>
  <si>
    <t>6ES7131+4BD01+0AB0</t>
  </si>
  <si>
    <t>1FT6108+8AF71+3AG0</t>
  </si>
  <si>
    <t>5SY6106+7</t>
  </si>
  <si>
    <t>3RV1011+1CA15</t>
  </si>
  <si>
    <t>3RV1131+4EA10</t>
  </si>
  <si>
    <t>3NE1803+0</t>
  </si>
  <si>
    <t>6ES7132+4BD01+0AA0</t>
  </si>
  <si>
    <t>6ES5374+2KK21</t>
  </si>
  <si>
    <t>3NE1224+0</t>
  </si>
  <si>
    <t>940+F4X+2D+001+180E</t>
  </si>
  <si>
    <t>3NE1021+0</t>
  </si>
  <si>
    <t>6ES7131+4BF50+0AA0</t>
  </si>
  <si>
    <t>3NE1820+0</t>
  </si>
  <si>
    <t>3VL9800+2AE00</t>
  </si>
  <si>
    <t>3NW6012+1</t>
  </si>
  <si>
    <t>3NE1818+0</t>
  </si>
  <si>
    <t>6FX8002+5CA11+1BF0</t>
  </si>
  <si>
    <t>КТИ+5185</t>
  </si>
  <si>
    <t>3NW6001+1</t>
  </si>
  <si>
    <t>D/061445+201</t>
  </si>
  <si>
    <t>3RT1035+1AP04</t>
  </si>
  <si>
    <t>ВО+2,5+220</t>
  </si>
  <si>
    <t>3RG4014+3AG01</t>
  </si>
  <si>
    <t>3NW6224+1</t>
  </si>
  <si>
    <t>8MR2170+1BB</t>
  </si>
  <si>
    <t>4G10+75U+R014</t>
  </si>
  <si>
    <t>3WL9111+0AJ02+0AA0</t>
  </si>
  <si>
    <t>SAR21725+00</t>
  </si>
  <si>
    <t>РП+21 003</t>
  </si>
  <si>
    <t>РТЛ+1006</t>
  </si>
  <si>
    <t>CTX0620+666163</t>
  </si>
  <si>
    <t>BCLL20+104706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</si>
</sst>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CE8644C-74E0-4C4E-AA1D-B1D00819C24E}">
  <we:reference id="wa200005271" version="2.5.5.0" store="ru-RU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 val="1"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"/>
  <sheetViews>
    <sheetView workbookViewId="0">
      <selection activeCell="B1" sqref="B1"/>
    </sheetView>
  </sheetViews>
  <sheetFormatPr defaultRowHeight="14.4" x14ac:dyDescent="0.3"/>
  <cols>
    <col min="1" max="1" width="51" customWidth="1"/>
  </cols>
  <sheetData>
    <row r="1" spans="1:2" x14ac:dyDescent="0.3">
      <c r="A1" t="s">
        <v>0</v>
      </c>
      <c r="B1" t="str" cm="1">
        <f t="array" ref="B1">_xldudf_AI_EXTRACT(A1,"извлеки партномер состоящий из английских заглавных букв, цифр и тире")</f>
        <v>1FT6108-8AF71-3AG0</v>
      </c>
    </row>
    <row r="2" spans="1:2" x14ac:dyDescent="0.3">
      <c r="A2" t="s">
        <v>1</v>
      </c>
      <c r="B2" t="str" cm="1">
        <f t="array" ref="B2">_xldudf_AI_EXTRACT(A2,"извлеки партномер состоящий из английских заглавных букв, цифр и тире")</f>
        <v>LC1F400M7</v>
      </c>
    </row>
    <row r="3" spans="1:2" x14ac:dyDescent="0.3">
      <c r="A3" t="s">
        <v>2</v>
      </c>
      <c r="B3" t="str" cm="1">
        <f t="array" ref="B3">_xldudf_AI_EXTRACT(A3,"извлеки партномер состоящий из английских заглавных букв, цифр и тире")</f>
        <v>КТИ-5185</v>
      </c>
    </row>
    <row r="4" spans="1:2" x14ac:dyDescent="0.3">
      <c r="A4" t="s">
        <v>3</v>
      </c>
      <c r="B4" t="str" cm="1">
        <f t="array" ref="B4">_xldudf_AI_EXTRACT(A4,"извлеки партномер состоящий из английских заглавных букв, цифр и тире")</f>
        <v>3RT1035-1AP04</v>
      </c>
    </row>
    <row r="5" spans="1:2" x14ac:dyDescent="0.3">
      <c r="A5" t="s">
        <v>4</v>
      </c>
      <c r="B5" t="str" cm="1">
        <f t="array" ref="B5">_xldudf_AI_EXTRACT(A5,"извлеки партномер состоящий из английских заглавных букв, цифр и тире")</f>
        <v>Not found.</v>
      </c>
    </row>
    <row r="6" spans="1:2" x14ac:dyDescent="0.3">
      <c r="A6" t="s">
        <v>5</v>
      </c>
      <c r="B6" t="str" cm="1">
        <f t="array" ref="B6">_xldudf_AI_EXTRACT(A6,"извлеки партномер состоящий из английских заглавных букв, цифр и тире")</f>
        <v>NT16H13PEDO5.0E</v>
      </c>
    </row>
    <row r="7" spans="1:2" x14ac:dyDescent="0.3">
      <c r="A7" t="s">
        <v>6</v>
      </c>
      <c r="B7" t="str" cm="1">
        <f t="array" ref="B7">_xldudf_AI_EXTRACT(A7,"извлеки партномер состоящий из английских заглавных букв, цифр и тире")</f>
        <v>3RV1011-1CA15</v>
      </c>
    </row>
    <row r="8" spans="1:2" x14ac:dyDescent="0.3">
      <c r="A8" t="s">
        <v>7</v>
      </c>
      <c r="B8" t="str" cm="1">
        <f t="array" ref="B8">_xldudf_AI_EXTRACT(A8,"извлеки партномер состоящий из английских заглавных букв, цифр и тире")</f>
        <v>3RV1131-4EA10</v>
      </c>
    </row>
    <row r="9" spans="1:2" x14ac:dyDescent="0.3">
      <c r="A9" t="s">
        <v>8</v>
      </c>
      <c r="B9" t="str" cm="1">
        <f t="array" ref="B9">_xldudf_AI_EXTRACT(A9,"извлеки партномер состоящий из английских заглавных букв, цифр и тире")</f>
        <v>FGL306F400LF</v>
      </c>
    </row>
    <row r="10" spans="1:2" x14ac:dyDescent="0.3">
      <c r="A10" t="s">
        <v>9</v>
      </c>
      <c r="B10" t="str" cm="1">
        <f t="array" ref="B10">_xldudf_AI_EXTRACT(A10,"извлеки партномер состоящий из английских заглавных букв, цифр и тире")</f>
        <v>FEN36TD200K</v>
      </c>
    </row>
    <row r="11" spans="1:2" x14ac:dyDescent="0.3">
      <c r="A11" t="s">
        <v>10</v>
      </c>
      <c r="B11" t="str" cm="1">
        <f t="array" ref="B11">_xldudf_AI_EXTRACT(A11,"извлеки партномер состоящий из английских заглавных букв, цифр и тире")</f>
        <v>716030</v>
      </c>
    </row>
    <row r="12" spans="1:2" x14ac:dyDescent="0.3">
      <c r="A12" t="s">
        <v>11</v>
      </c>
      <c r="B12" t="s">
        <v>60</v>
      </c>
    </row>
    <row r="13" spans="1:2" x14ac:dyDescent="0.3">
      <c r="A13" t="s">
        <v>12</v>
      </c>
      <c r="B13" t="str" cm="1">
        <f t="array" ref="B13">_xldudf_AI_EXTRACT(A13,"извлеки партномер состоящий из английских заглавных букв, цифр и тире")</f>
        <v>140CPS11420</v>
      </c>
    </row>
    <row r="14" spans="1:2" x14ac:dyDescent="0.3">
      <c r="A14" t="s">
        <v>13</v>
      </c>
      <c r="B14" t="str" cm="1">
        <f t="array" ref="B14">_xldudf_AI_EXTRACT(A14,"извлеки партномер состоящий из английских заглавных букв, цифр и тире")</f>
        <v>6FX8002-5CA11-1BF0</v>
      </c>
    </row>
    <row r="15" spans="1:2" x14ac:dyDescent="0.3">
      <c r="A15" t="s">
        <v>14</v>
      </c>
      <c r="B15" t="str" cm="1">
        <f t="array" ref="B15">_xldudf_AI_EXTRACT(A15,"извлеки партномер состоящий из английских заглавных букв, цифр и тире")</f>
        <v>6ES7131-4BD01-0AB0</v>
      </c>
    </row>
    <row r="16" spans="1:2" x14ac:dyDescent="0.3">
      <c r="A16" t="s">
        <v>15</v>
      </c>
      <c r="B16" t="str" cm="1">
        <f t="array" ref="B16">_xldudf_AI_EXTRACT(A16,"извлеки партномер состоящий из английских заглавных букв, цифр и тире")</f>
        <v>6ES7131-4BF50-0AA0</v>
      </c>
    </row>
    <row r="17" spans="1:2" x14ac:dyDescent="0.3">
      <c r="A17" t="s">
        <v>16</v>
      </c>
      <c r="B17" t="str" cm="1">
        <f t="array" ref="B17">_xldudf_AI_EXTRACT(A17,"извлеки партномер состоящий из английских заглавных букв, цифр и тире")</f>
        <v>6ES7132-4BD01-0AA0</v>
      </c>
    </row>
    <row r="18" spans="1:2" x14ac:dyDescent="0.3">
      <c r="A18" t="s">
        <v>17</v>
      </c>
      <c r="B18" t="str" cm="1">
        <f t="array" ref="B18">_xldudf_AI_EXTRACT(A18,"извлеки партномер состоящий из английских заглавных букв, цифр и тире")</f>
        <v>6ES7193-4CA50-0AA0</v>
      </c>
    </row>
    <row r="19" spans="1:2" x14ac:dyDescent="0.3">
      <c r="A19" t="s">
        <v>18</v>
      </c>
      <c r="B19" t="str" cm="1">
        <f t="array" ref="B19">_xldudf_AI_EXTRACT(A19,"извлеки партномер состоящий из английских заглавных букв, цифр и тире")</f>
        <v>3NE1803-0</v>
      </c>
    </row>
    <row r="20" spans="1:2" x14ac:dyDescent="0.3">
      <c r="A20" t="s">
        <v>19</v>
      </c>
      <c r="B20" t="str" cm="1">
        <f t="array" ref="B20">_xldudf_AI_EXTRACT(A20,"извлеки партномер состоящий из английских заглавных букв, цифр и тире")</f>
        <v>3NE3336</v>
      </c>
    </row>
    <row r="21" spans="1:2" x14ac:dyDescent="0.3">
      <c r="A21" t="s">
        <v>20</v>
      </c>
      <c r="B21" t="str" cm="1">
        <f t="array" ref="B21">_xldudf_AI_EXTRACT(A21,"извлеки партномер состоящий из английских заглавных букв, цифр и тире")</f>
        <v>3NE4121</v>
      </c>
    </row>
    <row r="22" spans="1:2" x14ac:dyDescent="0.3">
      <c r="A22" t="s">
        <v>21</v>
      </c>
      <c r="B22" t="str" cm="1">
        <f t="array" ref="B22">_xldudf_AI_EXTRACT(A22,"извлеки партномер состоящий из английских заглавных букв, цифр и тире")</f>
        <v>5SD440</v>
      </c>
    </row>
    <row r="23" spans="1:2" x14ac:dyDescent="0.3">
      <c r="A23" t="s">
        <v>22</v>
      </c>
      <c r="B23" t="str" cm="1">
        <f t="array" ref="B23">_xldudf_AI_EXTRACT(A23,"извлеки партномер состоящий из английских заглавных букв, цифр и тире")</f>
        <v>3NE4101</v>
      </c>
    </row>
    <row r="24" spans="1:2" x14ac:dyDescent="0.3">
      <c r="A24" t="s">
        <v>23</v>
      </c>
      <c r="B24" t="str" cm="1">
        <f t="array" ref="B24">_xldudf_AI_EXTRACT(A24,"извлеки партномер состоящий из английских заглавных букв, цифр и тире")</f>
        <v>3NE1224-0</v>
      </c>
    </row>
    <row r="25" spans="1:2" x14ac:dyDescent="0.3">
      <c r="A25" t="s">
        <v>24</v>
      </c>
      <c r="B25" t="str" cm="1">
        <f t="array" ref="B25">_xldudf_AI_EXTRACT(A25,"извлеки партномер состоящий из английских заглавных букв, цифр и тире")</f>
        <v>3NW6001-1</v>
      </c>
    </row>
    <row r="26" spans="1:2" x14ac:dyDescent="0.3">
      <c r="A26" t="s">
        <v>25</v>
      </c>
      <c r="B26" t="str" cm="1">
        <f t="array" ref="B26">_xldudf_AI_EXTRACT(A26,"извлеки партномер состоящий из английских заглавных букв, цифр и тире")</f>
        <v>3NE1818-0</v>
      </c>
    </row>
    <row r="27" spans="1:2" x14ac:dyDescent="0.3">
      <c r="A27" t="s">
        <v>26</v>
      </c>
      <c r="B27" t="str" cm="1">
        <f t="array" ref="B27">_xldudf_AI_EXTRACT(A27,"извлеки партномер состоящий из английских заглавных букв, цифр и тире")</f>
        <v>3NA3817</v>
      </c>
    </row>
    <row r="28" spans="1:2" x14ac:dyDescent="0.3">
      <c r="A28" t="s">
        <v>27</v>
      </c>
      <c r="B28" t="str" cm="1">
        <f t="array" ref="B28">_xldudf_AI_EXTRACT(A28,"извлеки партномер состоящий из английских заглавных букв, цифр и тире")</f>
        <v>3NW6012-1</v>
      </c>
    </row>
    <row r="29" spans="1:2" x14ac:dyDescent="0.3">
      <c r="A29" t="s">
        <v>28</v>
      </c>
      <c r="B29" t="str" cm="1">
        <f t="array" ref="B29">_xldudf_AI_EXTRACT(A29,"извлеки партномер состоящий из английских заглавных букв, цифр и тире")</f>
        <v>3NW6224-1</v>
      </c>
    </row>
    <row r="30" spans="1:2" x14ac:dyDescent="0.3">
      <c r="A30" t="s">
        <v>29</v>
      </c>
      <c r="B30" t="str" cm="1">
        <f t="array" ref="B30">_xldudf_AI_EXTRACT(A30,"извлеки партномер состоящий из английских заглавных букв, цифр и тире")</f>
        <v>3NE4124</v>
      </c>
    </row>
    <row r="31" spans="1:2" x14ac:dyDescent="0.3">
      <c r="A31" t="s">
        <v>30</v>
      </c>
      <c r="B31" t="str" cm="1">
        <f t="array" ref="B31">_xldudf_AI_EXTRACT(A31,"извлеки партномер состоящий из английских заглавных букв, цифр и тире")</f>
        <v>3NE1021-0</v>
      </c>
    </row>
    <row r="32" spans="1:2" x14ac:dyDescent="0.3">
      <c r="A32" t="s">
        <v>31</v>
      </c>
      <c r="B32" t="str" cm="1">
        <f t="array" ref="B32">_xldudf_AI_EXTRACT(A32,"извлеки партномер состоящий из английских заглавных букв, цифр и тире")</f>
        <v>3NE1820-0</v>
      </c>
    </row>
    <row r="33" spans="1:2" x14ac:dyDescent="0.3">
      <c r="A33" t="s">
        <v>32</v>
      </c>
      <c r="B33" t="str" cm="1">
        <f t="array" ref="B33">_xldudf_AI_EXTRACT(A33,"извлеки партномер состоящий из английских заглавных букв, цифр и тире")</f>
        <v>3RG4014-3AG01</v>
      </c>
    </row>
    <row r="34" spans="1:2" x14ac:dyDescent="0.3">
      <c r="A34" t="s">
        <v>33</v>
      </c>
      <c r="B34" t="str" cm="1">
        <f t="array" ref="B34">_xldudf_AI_EXTRACT(A34,"извлеки партномер состоящий из английских заглавных букв, цифр и тире")</f>
        <v>940-F4X-2D-001-180E</v>
      </c>
    </row>
    <row r="35" spans="1:2" x14ac:dyDescent="0.3">
      <c r="A35" t="s">
        <v>34</v>
      </c>
      <c r="B35" t="str" cm="1">
        <f t="array" ref="B35">_xldudf_AI_EXTRACT(A35,"извлеки партномер состоящий из английских заглавных букв, цифр и тире")</f>
        <v>6ES5374-2KK21</v>
      </c>
    </row>
    <row r="36" spans="1:2" x14ac:dyDescent="0.3">
      <c r="A36" t="s">
        <v>35</v>
      </c>
      <c r="B36" t="str" cm="1">
        <f t="array" ref="B36">_xldudf_AI_EXTRACT(A36,"извлеки партномер состоящий из английских заглавных букв, цифр и тире")</f>
        <v>ABHT1C6S</v>
      </c>
    </row>
    <row r="37" spans="1:2" x14ac:dyDescent="0.3">
      <c r="A37" t="s">
        <v>36</v>
      </c>
      <c r="B37" t="str" cm="1">
        <f t="array" ref="B37">_xldudf_AI_EXTRACT(A37,"извлеки партномер состоящий из английских заглавных букв, цифр и тире")</f>
        <v>3WL9111-0AJ02-0AA0</v>
      </c>
    </row>
    <row r="38" spans="1:2" x14ac:dyDescent="0.3">
      <c r="A38" t="s">
        <v>37</v>
      </c>
      <c r="B38" t="str" cm="1">
        <f t="array" ref="B38">_xldudf_AI_EXTRACT(A38,"извлеки партномер состоящий из английских заглавных букв, цифр и тире")</f>
        <v>ALIL3L220</v>
      </c>
    </row>
    <row r="39" spans="1:2" x14ac:dyDescent="0.3">
      <c r="A39" t="s">
        <v>38</v>
      </c>
      <c r="B39" t="str" cm="1">
        <f t="array" ref="B39">_xldudf_AI_EXTRACT(A39,"извлеки партномер состоящий из английских заглавных букв, цифр и тире")</f>
        <v>ALIL2L220</v>
      </c>
    </row>
    <row r="40" spans="1:2" x14ac:dyDescent="0.3">
      <c r="A40" t="s">
        <v>39</v>
      </c>
      <c r="B40" t="str" cm="1">
        <f t="array" ref="B40">_xldudf_AI_EXTRACT(A40,"извлеки партномер состоящий из английских заглавных букв, цифр и тире")</f>
        <v>ALIL1L220</v>
      </c>
    </row>
    <row r="41" spans="1:2" x14ac:dyDescent="0.3">
      <c r="A41" t="s">
        <v>40</v>
      </c>
      <c r="B41" t="str" cm="1">
        <f t="array" ref="B41">_xldudf_AI_EXTRACT(A41,"извлеки партномер состоящий из английских заглавных букв, цифр и тире")</f>
        <v>Not found.</v>
      </c>
    </row>
    <row r="42" spans="1:2" x14ac:dyDescent="0.3">
      <c r="A42" t="s">
        <v>41</v>
      </c>
      <c r="B42" t="str" cm="1">
        <f t="array" ref="B42">_xldudf_AI_EXTRACT(A42,"извлеки партномер состоящий из английских заглавных букв, цифр и тире")</f>
        <v>4G10-75U-R014</v>
      </c>
    </row>
    <row r="43" spans="1:2" x14ac:dyDescent="0.3">
      <c r="A43" t="s">
        <v>42</v>
      </c>
      <c r="B43" t="str" cm="1">
        <f t="array" ref="B43">_xldudf_AI_EXTRACT(A43,"извлеки партномер состоящий из английских заглавных букв, цифр и тире")</f>
        <v>Not found.</v>
      </c>
    </row>
    <row r="44" spans="1:2" x14ac:dyDescent="0.3">
      <c r="A44" t="s">
        <v>43</v>
      </c>
      <c r="B44" t="str" cm="1">
        <f t="array" ref="B44">_xldudf_AI_EXTRACT(A44,"извлеки партномер состоящий из английских заглавных букв, цифр и тире")</f>
        <v>GN25 8828 U</v>
      </c>
    </row>
    <row r="45" spans="1:2" x14ac:dyDescent="0.3">
      <c r="A45" t="s">
        <v>44</v>
      </c>
      <c r="B45" t="str" cm="1">
        <f t="array" ref="B45">_xldudf_AI_EXTRACT(A45,"извлеки партномер состоящий из английских заглавных букв, цифр и тире")</f>
        <v>Not found</v>
      </c>
    </row>
    <row r="46" spans="1:2" x14ac:dyDescent="0.3">
      <c r="A46" t="s">
        <v>45</v>
      </c>
      <c r="B46" t="str" cm="1">
        <f t="array" ref="B46">_xldudf_AI_EXTRACT(A46,"извлеки партномер состоящий из английских заглавных букв, цифр и тире")</f>
        <v>G6*1</v>
      </c>
    </row>
    <row r="47" spans="1:2" x14ac:dyDescent="0.3">
      <c r="A47" t="s">
        <v>46</v>
      </c>
      <c r="B47" t="str" cm="1">
        <f t="array" ref="B47">_xldudf_AI_EXTRACT(A47,"извлеки партномер состоящий из английских заглавных букв, цифр и тире")</f>
        <v>RP-21 003</v>
      </c>
    </row>
    <row r="48" spans="1:2" x14ac:dyDescent="0.3">
      <c r="A48" t="s">
        <v>47</v>
      </c>
      <c r="B48" t="str" cm="1">
        <f t="array" ref="B48">_xldudf_AI_EXTRACT(A48,"извлеки партномер состоящий из английских заглавных букв, цифр и тире")</f>
        <v>РТЛ-1006</v>
      </c>
    </row>
    <row r="49" spans="1:2" x14ac:dyDescent="0.3">
      <c r="A49" t="s">
        <v>48</v>
      </c>
      <c r="B49" t="str" cm="1">
        <f t="array" ref="B49">_xldudf_AI_EXTRACT(A49,"извлеки партномер состоящий из английских заглавных букв, цифр и тире")</f>
        <v>LZS:PT5A5L24</v>
      </c>
    </row>
    <row r="50" spans="1:2" x14ac:dyDescent="0.3">
      <c r="A50" t="s">
        <v>49</v>
      </c>
      <c r="B50" t="str" cm="1">
        <f t="array" ref="B50">_xldudf_AI_EXTRACT(A50,"извлеки партномер состоящий из английских заглавных букв, цифр и тире")</f>
        <v>Ц42304</v>
      </c>
    </row>
    <row r="51" spans="1:2" x14ac:dyDescent="0.3">
      <c r="A51" t="s">
        <v>50</v>
      </c>
      <c r="B51" t="str" cm="1">
        <f t="array" ref="B51">_xldudf_AI_EXTRACT(A51,"извлеки партномер состоящий из английских заглавных букв, цифр и тире")</f>
        <v>8WA20111SG23</v>
      </c>
    </row>
    <row r="52" spans="1:2" x14ac:dyDescent="0.3">
      <c r="A52" t="s">
        <v>51</v>
      </c>
      <c r="B52" t="str" cm="1">
        <f t="array" ref="B52">_xldudf_AI_EXTRACT(A52,"извлеки партномер состоящий из английских заглавных букв, цифр и тире")</f>
        <v>SAR21725-00</v>
      </c>
    </row>
    <row r="53" spans="1:2" x14ac:dyDescent="0.3">
      <c r="A53" t="s">
        <v>52</v>
      </c>
      <c r="B53" t="str" cm="1">
        <f t="array" ref="B53">_xldudf_AI_EXTRACT(A53,"извлеки партномер состоящий из английских заглавных букв, цифр и тире")</f>
        <v>CTX0620-666163</v>
      </c>
    </row>
    <row r="54" spans="1:2" x14ac:dyDescent="0.3">
      <c r="A54" t="s">
        <v>53</v>
      </c>
      <c r="B54" t="str" cm="1">
        <f t="array" ref="B54">_xldudf_AI_EXTRACT(A54,"извлеки партномер состоящий из английских заглавных букв, цифр и тире")</f>
        <v>8MR2170-1BB</v>
      </c>
    </row>
    <row r="55" spans="1:2" x14ac:dyDescent="0.3">
      <c r="A55" t="s">
        <v>54</v>
      </c>
      <c r="B55" t="str" cm="1">
        <f t="array" ref="B55">_xldudf_AI_EXTRACT(A55,"извлеки партномер состоящий из английских заглавных букв, цифр и тире")</f>
        <v>Not found.</v>
      </c>
    </row>
    <row r="56" spans="1:2" x14ac:dyDescent="0.3">
      <c r="A56" t="s">
        <v>55</v>
      </c>
      <c r="B56" t="str" cm="1">
        <f t="array" ref="B56">_xldudf_AI_EXTRACT(A56,"извлеки партномер состоящий из английских заглавных букв, цифр и тире")</f>
        <v>1SBN010120R1011</v>
      </c>
    </row>
    <row r="57" spans="1:2" x14ac:dyDescent="0.3">
      <c r="A57" t="s">
        <v>56</v>
      </c>
      <c r="B57" t="str" cm="1">
        <f t="array" ref="B57">_xldudf_AI_EXTRACT(A57,"извлеки партномер состоящий из английских заглавных букв, цифр и тире")</f>
        <v>104706</v>
      </c>
    </row>
    <row r="58" spans="1:2" x14ac:dyDescent="0.3">
      <c r="A58" t="s">
        <v>57</v>
      </c>
      <c r="B58" t="str" cm="1">
        <f t="array" ref="B58">_xldudf_AI_EXTRACT(A58,"извлеки партномер состоящий из английских заглавных букв, цифр и тире")</f>
        <v>3VL9800-2AE00</v>
      </c>
    </row>
    <row r="59" spans="1:2" x14ac:dyDescent="0.3">
      <c r="A59" t="s">
        <v>58</v>
      </c>
      <c r="B59" t="str" cm="1">
        <f t="array" ref="B59">_xldudf_AI_EXTRACT(A59,"извлеки партномер состоящий из английских заглавных букв, цифр и тире")</f>
        <v>Not found.</v>
      </c>
    </row>
    <row r="60" spans="1:2" x14ac:dyDescent="0.3">
      <c r="A60" t="s">
        <v>59</v>
      </c>
      <c r="B60" t="str" cm="1">
        <f t="array" ref="B60">_xldudf_AI_EXTRACT(A60,"извлеки партномер состоящий из английских заглавных букв, цифр и тире")</f>
        <v>5SY6106-7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D4817-8309-40A8-80F6-6DF4FAE54E13}">
  <dimension ref="A1:K60"/>
  <sheetViews>
    <sheetView tabSelected="1" workbookViewId="0">
      <selection activeCell="K5" sqref="K5"/>
    </sheetView>
  </sheetViews>
  <sheetFormatPr defaultRowHeight="14.4" x14ac:dyDescent="0.3"/>
  <cols>
    <col min="1" max="1" width="64.109375" customWidth="1"/>
  </cols>
  <sheetData>
    <row r="1" spans="1:11" x14ac:dyDescent="0.3">
      <c r="A1" s="1" t="s">
        <v>17</v>
      </c>
      <c r="B1" s="1">
        <v>395</v>
      </c>
      <c r="C1" s="1">
        <v>7516</v>
      </c>
      <c r="D1" s="1">
        <v>2968820</v>
      </c>
      <c r="E1" s="1" t="s">
        <v>61</v>
      </c>
      <c r="F1" t="str" cm="1">
        <f t="array" ref="F1">_xldudf_AI_EXTRACT(A1,"извлеки партномер состоящий из английских заглавных букв, цифр и тире")</f>
        <v>6ES7193-4CA50-0AA0</v>
      </c>
      <c r="G1" t="s">
        <v>115</v>
      </c>
      <c r="H1" t="s">
        <v>141</v>
      </c>
      <c r="J1">
        <v>1500</v>
      </c>
    </row>
    <row r="2" spans="1:11" x14ac:dyDescent="0.3">
      <c r="A2" s="1" t="s">
        <v>14</v>
      </c>
      <c r="B2" s="1">
        <v>185</v>
      </c>
      <c r="C2" s="1">
        <v>6850</v>
      </c>
      <c r="D2" s="1">
        <v>1267250</v>
      </c>
      <c r="E2" s="1" t="s">
        <v>62</v>
      </c>
      <c r="F2" t="str" cm="1">
        <f t="array" ref="F2">_xldudf_AI_EXTRACT(A2,"извлеки партномер состоящий из английских заглавных букв, цифр и тире")</f>
        <v>6ES7131-4BD01-0AB0</v>
      </c>
      <c r="H2" t="s">
        <v>142</v>
      </c>
      <c r="J2">
        <v>1000</v>
      </c>
      <c r="K2" t="s">
        <v>142</v>
      </c>
    </row>
    <row r="3" spans="1:11" x14ac:dyDescent="0.3">
      <c r="A3" s="1" t="s">
        <v>0</v>
      </c>
      <c r="B3" s="1">
        <v>1</v>
      </c>
      <c r="C3" s="1">
        <v>1189000</v>
      </c>
      <c r="D3" s="1">
        <v>1189000</v>
      </c>
      <c r="E3" s="1" t="s">
        <v>63</v>
      </c>
      <c r="F3" t="str" cm="1">
        <f t="array" ref="F3">_xldudf_AI_EXTRACT(A3,"извлеки партномер состоящий из английских заглавных букв, цифр и тире")</f>
        <v>1FT6108-8AF71-3AG0</v>
      </c>
      <c r="H3" t="s">
        <v>143</v>
      </c>
      <c r="J3">
        <v>1</v>
      </c>
      <c r="K3" t="s">
        <v>148</v>
      </c>
    </row>
    <row r="4" spans="1:11" x14ac:dyDescent="0.3">
      <c r="A4" s="1" t="s">
        <v>12</v>
      </c>
      <c r="B4" s="1">
        <v>12</v>
      </c>
      <c r="C4" s="1">
        <v>86539</v>
      </c>
      <c r="D4" s="1">
        <v>1038468</v>
      </c>
      <c r="E4" s="1" t="s">
        <v>64</v>
      </c>
      <c r="F4" t="str" cm="1">
        <f t="array" ref="F4">_xldudf_AI_EXTRACT(A4,"извлеки партномер состоящий из английских заглавных букв, цифр и тире")</f>
        <v>140CPS11420</v>
      </c>
      <c r="H4" t="s">
        <v>116</v>
      </c>
      <c r="K4" t="s">
        <v>141</v>
      </c>
    </row>
    <row r="5" spans="1:11" x14ac:dyDescent="0.3">
      <c r="A5" s="1" t="s">
        <v>1</v>
      </c>
      <c r="B5" s="1">
        <v>3</v>
      </c>
      <c r="C5" s="1">
        <v>315160</v>
      </c>
      <c r="D5" s="1">
        <v>945480</v>
      </c>
      <c r="E5" s="1" t="s">
        <v>65</v>
      </c>
      <c r="F5" t="str" cm="1">
        <f t="array" ref="F5">_xldudf_AI_EXTRACT(A5,"извлеки партномер состоящий из английских заглавных букв, цифр и тире")</f>
        <v>LC1F400M7</v>
      </c>
      <c r="H5" t="s">
        <v>117</v>
      </c>
      <c r="K5" t="s">
        <v>117</v>
      </c>
    </row>
    <row r="6" spans="1:11" x14ac:dyDescent="0.3">
      <c r="A6" s="1" t="s">
        <v>4</v>
      </c>
      <c r="B6" s="1">
        <v>2</v>
      </c>
      <c r="C6" s="1">
        <v>234000</v>
      </c>
      <c r="D6" s="1">
        <v>468000</v>
      </c>
      <c r="E6" s="1" t="s">
        <v>66</v>
      </c>
      <c r="F6" t="str" cm="1">
        <f t="array" ref="F6">_xldudf_AI_EXTRACT(A6,"извлеки партномер состоящий из английских заглавных букв, цифр и тире")</f>
        <v>Not found.</v>
      </c>
      <c r="H6" t="s">
        <v>118</v>
      </c>
    </row>
    <row r="7" spans="1:11" x14ac:dyDescent="0.3">
      <c r="A7" s="1" t="s">
        <v>59</v>
      </c>
      <c r="B7" s="1">
        <v>588</v>
      </c>
      <c r="C7" s="1">
        <v>742</v>
      </c>
      <c r="D7" s="1">
        <v>436296</v>
      </c>
      <c r="E7" s="1" t="s">
        <v>67</v>
      </c>
      <c r="F7" t="str" cm="1">
        <f t="array" ref="F7">_xldudf_AI_EXTRACT(A7,"извлеки партномер состоящий из английских заглавных букв, цифр и тире")</f>
        <v>5SY6106-7</v>
      </c>
      <c r="H7" t="s">
        <v>144</v>
      </c>
    </row>
    <row r="8" spans="1:11" x14ac:dyDescent="0.3">
      <c r="A8" s="1" t="s">
        <v>6</v>
      </c>
      <c r="B8" s="1">
        <v>47</v>
      </c>
      <c r="C8" s="1">
        <v>9000</v>
      </c>
      <c r="D8" s="1">
        <v>423000</v>
      </c>
      <c r="E8" s="1" t="s">
        <v>68</v>
      </c>
      <c r="F8" t="str" cm="1">
        <f t="array" ref="F8">_xldudf_AI_EXTRACT(A8,"извлеки партномер состоящий из английских заглавных букв, цифр и тире")</f>
        <v>3RV1011-1CA15</v>
      </c>
      <c r="H8" t="s">
        <v>145</v>
      </c>
    </row>
    <row r="9" spans="1:11" x14ac:dyDescent="0.3">
      <c r="A9" s="1" t="s">
        <v>7</v>
      </c>
      <c r="B9" s="1">
        <v>8</v>
      </c>
      <c r="C9" s="1">
        <v>34920</v>
      </c>
      <c r="D9" s="1">
        <v>279360</v>
      </c>
      <c r="E9" s="1" t="s">
        <v>69</v>
      </c>
      <c r="F9" t="str" cm="1">
        <f t="array" ref="F9">_xldudf_AI_EXTRACT(A9,"извлеки партномер состоящий из английских заглавных букв, цифр и тире")</f>
        <v>3RV1131-4EA10</v>
      </c>
      <c r="H9" t="s">
        <v>146</v>
      </c>
    </row>
    <row r="10" spans="1:11" x14ac:dyDescent="0.3">
      <c r="A10" s="1" t="s">
        <v>18</v>
      </c>
      <c r="B10" s="1">
        <v>36</v>
      </c>
      <c r="C10" s="1">
        <v>7590</v>
      </c>
      <c r="D10" s="1">
        <v>273240</v>
      </c>
      <c r="E10" s="1" t="s">
        <v>70</v>
      </c>
      <c r="F10" t="str" cm="1">
        <f t="array" ref="F10">_xldudf_AI_EXTRACT(A10,"извлеки партномер состоящий из английских заглавных букв, цифр и тире")</f>
        <v>3NE1803-0</v>
      </c>
      <c r="H10" t="s">
        <v>147</v>
      </c>
    </row>
    <row r="11" spans="1:11" x14ac:dyDescent="0.3">
      <c r="A11" s="1" t="s">
        <v>5</v>
      </c>
      <c r="B11" s="1">
        <v>1</v>
      </c>
      <c r="C11" s="1">
        <v>200000</v>
      </c>
      <c r="D11" s="1">
        <v>200000</v>
      </c>
      <c r="E11" s="1" t="s">
        <v>71</v>
      </c>
      <c r="F11" t="str" cm="1">
        <f t="array" ref="F11">_xldudf_AI_EXTRACT(A11,"извлеки партномер состоящий из английских заглавных букв, цифр и тире")</f>
        <v>NT16H13PEDO5.0E</v>
      </c>
      <c r="H11" t="s">
        <v>119</v>
      </c>
    </row>
    <row r="12" spans="1:11" x14ac:dyDescent="0.3">
      <c r="A12" s="1" t="s">
        <v>16</v>
      </c>
      <c r="B12" s="1">
        <v>50</v>
      </c>
      <c r="C12" s="1">
        <v>3800</v>
      </c>
      <c r="D12" s="1">
        <v>190000</v>
      </c>
      <c r="E12" s="1" t="s">
        <v>72</v>
      </c>
      <c r="F12" t="str" cm="1">
        <f t="array" ref="F12">_xldudf_AI_EXTRACT(A12,"извлеки партномер состоящий из английских заглавных букв, цифр и тире")</f>
        <v>6ES7132-4BD01-0AA0</v>
      </c>
      <c r="H12" t="s">
        <v>148</v>
      </c>
      <c r="J12">
        <v>1000</v>
      </c>
    </row>
    <row r="13" spans="1:11" x14ac:dyDescent="0.3">
      <c r="A13" s="1" t="s">
        <v>10</v>
      </c>
      <c r="B13" s="1">
        <v>3</v>
      </c>
      <c r="C13" s="1">
        <v>58500</v>
      </c>
      <c r="D13" s="1">
        <v>175500</v>
      </c>
      <c r="E13" s="1" t="s">
        <v>73</v>
      </c>
      <c r="F13" t="str" cm="1">
        <f t="array" ref="F13">_xldudf_AI_EXTRACT(A13,"извлеки партномер состоящий из английских заглавных букв, цифр и тире")</f>
        <v>716030</v>
      </c>
      <c r="H13" t="s">
        <v>120</v>
      </c>
    </row>
    <row r="14" spans="1:11" x14ac:dyDescent="0.3">
      <c r="A14" s="1" t="s">
        <v>34</v>
      </c>
      <c r="B14" s="1">
        <v>3</v>
      </c>
      <c r="C14" s="1">
        <v>41000</v>
      </c>
      <c r="D14" s="1">
        <v>123000</v>
      </c>
      <c r="E14" s="1" t="s">
        <v>74</v>
      </c>
      <c r="F14" t="str" cm="1">
        <f t="array" ref="F14">_xldudf_AI_EXTRACT(A14,"извлеки партномер состоящий из английских заглавных букв, цифр и тире")</f>
        <v>6ES5374-2KK21</v>
      </c>
      <c r="H14" t="s">
        <v>149</v>
      </c>
    </row>
    <row r="15" spans="1:11" x14ac:dyDescent="0.3">
      <c r="A15" s="1" t="s">
        <v>23</v>
      </c>
      <c r="B15" s="1">
        <v>6</v>
      </c>
      <c r="C15" s="1">
        <v>15795</v>
      </c>
      <c r="D15" s="1">
        <v>94770</v>
      </c>
      <c r="E15" s="1" t="s">
        <v>75</v>
      </c>
      <c r="F15" t="str" cm="1">
        <f t="array" ref="F15">_xldudf_AI_EXTRACT(A15,"извлеки партномер состоящий из английских заглавных букв, цифр и тире")</f>
        <v>3NE1224-0</v>
      </c>
      <c r="H15" t="s">
        <v>150</v>
      </c>
    </row>
    <row r="16" spans="1:11" x14ac:dyDescent="0.3">
      <c r="A16" s="1" t="s">
        <v>9</v>
      </c>
      <c r="B16" s="1">
        <v>1</v>
      </c>
      <c r="C16" s="1">
        <v>83000</v>
      </c>
      <c r="D16" s="1">
        <v>83000</v>
      </c>
      <c r="E16" s="1" t="s">
        <v>76</v>
      </c>
      <c r="F16" t="str" cm="1">
        <f t="array" ref="F16">_xldudf_AI_EXTRACT(A16,"извлеки партномер состоящий из английских заглавных букв, цифр и тире")</f>
        <v>FEN36TD200K</v>
      </c>
      <c r="H16" t="s">
        <v>121</v>
      </c>
    </row>
    <row r="17" spans="1:8" x14ac:dyDescent="0.3">
      <c r="A17" s="1" t="s">
        <v>33</v>
      </c>
      <c r="B17" s="1">
        <v>3</v>
      </c>
      <c r="C17" s="1">
        <v>25500</v>
      </c>
      <c r="D17" s="1">
        <v>76500</v>
      </c>
      <c r="E17" s="1" t="s">
        <v>77</v>
      </c>
      <c r="F17" t="str" cm="1">
        <f t="array" ref="F17">_xldudf_AI_EXTRACT(A17,"извлеки партномер состоящий из английских заглавных букв, цифр и тире")</f>
        <v>940-F4X-2D-001-180E</v>
      </c>
      <c r="H17" t="s">
        <v>151</v>
      </c>
    </row>
    <row r="18" spans="1:8" x14ac:dyDescent="0.3">
      <c r="A18" s="1" t="s">
        <v>8</v>
      </c>
      <c r="B18" s="1">
        <v>1</v>
      </c>
      <c r="C18" s="1">
        <v>70000</v>
      </c>
      <c r="D18" s="1">
        <v>70000</v>
      </c>
      <c r="E18" s="1" t="s">
        <v>78</v>
      </c>
      <c r="F18" t="str" cm="1">
        <f t="array" ref="F18">_xldudf_AI_EXTRACT(A18,"извлеки партномер состоящий из английских заглавных букв, цифр и тире")</f>
        <v>FGL306F400LF</v>
      </c>
      <c r="H18" t="s">
        <v>122</v>
      </c>
    </row>
    <row r="19" spans="1:8" x14ac:dyDescent="0.3">
      <c r="A19" s="1" t="s">
        <v>29</v>
      </c>
      <c r="B19" s="1">
        <v>5</v>
      </c>
      <c r="C19" s="1">
        <v>11755</v>
      </c>
      <c r="D19" s="1">
        <v>58775</v>
      </c>
      <c r="E19" s="1" t="s">
        <v>79</v>
      </c>
      <c r="F19" t="str" cm="1">
        <f t="array" ref="F19">_xldudf_AI_EXTRACT(A19,"извлеки партномер состоящий из английских заглавных букв, цифр и тире")</f>
        <v>3NE4124</v>
      </c>
      <c r="H19" t="s">
        <v>123</v>
      </c>
    </row>
    <row r="20" spans="1:8" x14ac:dyDescent="0.3">
      <c r="A20" s="1" t="s">
        <v>30</v>
      </c>
      <c r="B20" s="1">
        <v>6</v>
      </c>
      <c r="C20" s="1">
        <v>8781</v>
      </c>
      <c r="D20" s="1">
        <v>52686</v>
      </c>
      <c r="E20" s="1" t="s">
        <v>80</v>
      </c>
      <c r="F20" t="str" cm="1">
        <f t="array" ref="F20">_xldudf_AI_EXTRACT(A20,"извлеки партномер состоящий из английских заглавных букв, цифр и тире")</f>
        <v>3NE1021-0</v>
      </c>
      <c r="H20" t="s">
        <v>152</v>
      </c>
    </row>
    <row r="21" spans="1:8" x14ac:dyDescent="0.3">
      <c r="A21" s="1" t="s">
        <v>19</v>
      </c>
      <c r="B21" s="1">
        <v>2</v>
      </c>
      <c r="C21" s="1">
        <v>25230</v>
      </c>
      <c r="D21" s="1">
        <v>50460</v>
      </c>
      <c r="E21" s="1" t="s">
        <v>81</v>
      </c>
      <c r="F21" t="str" cm="1">
        <f t="array" ref="F21">_xldudf_AI_EXTRACT(A21,"извлеки партномер состоящий из английских заглавных букв, цифр и тире")</f>
        <v>3NE3336</v>
      </c>
      <c r="H21" t="s">
        <v>124</v>
      </c>
    </row>
    <row r="22" spans="1:8" x14ac:dyDescent="0.3">
      <c r="A22" s="1" t="s">
        <v>15</v>
      </c>
      <c r="B22" s="1">
        <v>10</v>
      </c>
      <c r="C22" s="1">
        <v>4500</v>
      </c>
      <c r="D22" s="1">
        <v>45000</v>
      </c>
      <c r="E22" s="1" t="s">
        <v>82</v>
      </c>
      <c r="F22" t="str" cm="1">
        <f t="array" ref="F22">_xldudf_AI_EXTRACT(A22,"извлеки партномер состоящий из английских заглавных букв, цифр и тире")</f>
        <v>6ES7131-4BF50-0AA0</v>
      </c>
      <c r="H22" t="s">
        <v>153</v>
      </c>
    </row>
    <row r="23" spans="1:8" x14ac:dyDescent="0.3">
      <c r="A23" s="1" t="s">
        <v>31</v>
      </c>
      <c r="B23" s="1">
        <v>6</v>
      </c>
      <c r="C23" s="1">
        <v>7500</v>
      </c>
      <c r="D23" s="1">
        <v>45000</v>
      </c>
      <c r="E23" s="1" t="s">
        <v>83</v>
      </c>
      <c r="F23" t="str" cm="1">
        <f t="array" ref="F23">_xldudf_AI_EXTRACT(A23,"извлеки партномер состоящий из английских заглавных букв, цифр и тире")</f>
        <v>3NE1820-0</v>
      </c>
      <c r="H23" t="s">
        <v>154</v>
      </c>
    </row>
    <row r="24" spans="1:8" x14ac:dyDescent="0.3">
      <c r="A24" s="1" t="s">
        <v>57</v>
      </c>
      <c r="B24" s="1">
        <v>4</v>
      </c>
      <c r="C24" s="1">
        <v>10620</v>
      </c>
      <c r="D24" s="1">
        <v>42480</v>
      </c>
      <c r="E24" s="1" t="s">
        <v>84</v>
      </c>
      <c r="F24" t="str" cm="1">
        <f t="array" ref="F24">_xldudf_AI_EXTRACT(A24,"извлеки партномер состоящий из английских заглавных букв, цифр и тире")</f>
        <v>3VL9800-2AE00</v>
      </c>
      <c r="H24" t="s">
        <v>155</v>
      </c>
    </row>
    <row r="25" spans="1:8" x14ac:dyDescent="0.3">
      <c r="A25" s="1" t="s">
        <v>27</v>
      </c>
      <c r="B25" s="1">
        <v>30</v>
      </c>
      <c r="C25" s="1">
        <v>1300</v>
      </c>
      <c r="D25" s="1">
        <v>39000</v>
      </c>
      <c r="E25" s="1" t="s">
        <v>85</v>
      </c>
      <c r="F25" t="str" cm="1">
        <f t="array" ref="F25">_xldudf_AI_EXTRACT(A25,"извлеки партномер состоящий из английских заглавных букв, цифр и тире")</f>
        <v>3NW6012-1</v>
      </c>
      <c r="H25" t="s">
        <v>156</v>
      </c>
    </row>
    <row r="26" spans="1:8" x14ac:dyDescent="0.3">
      <c r="A26" s="1" t="s">
        <v>39</v>
      </c>
      <c r="B26" s="1">
        <v>52</v>
      </c>
      <c r="C26" s="1">
        <v>750</v>
      </c>
      <c r="D26" s="1">
        <v>39000</v>
      </c>
      <c r="E26" s="1" t="s">
        <v>86</v>
      </c>
      <c r="F26" t="str" cm="1">
        <f t="array" ref="F26">_xldudf_AI_EXTRACT(A26,"извлеки партномер состоящий из английских заглавных букв, цифр и тире")</f>
        <v>ALIL1L220</v>
      </c>
      <c r="H26" t="s">
        <v>125</v>
      </c>
    </row>
    <row r="27" spans="1:8" x14ac:dyDescent="0.3">
      <c r="A27" s="1" t="s">
        <v>38</v>
      </c>
      <c r="B27" s="1">
        <v>51</v>
      </c>
      <c r="C27" s="1">
        <v>750</v>
      </c>
      <c r="D27" s="1">
        <v>38250</v>
      </c>
      <c r="E27" s="1" t="s">
        <v>86</v>
      </c>
      <c r="F27" t="str" cm="1">
        <f t="array" ref="F27">_xldudf_AI_EXTRACT(A27,"извлеки партномер состоящий из английских заглавных букв, цифр и тире")</f>
        <v>ALIL2L220</v>
      </c>
      <c r="H27" t="s">
        <v>126</v>
      </c>
    </row>
    <row r="28" spans="1:8" x14ac:dyDescent="0.3">
      <c r="A28" s="1" t="s">
        <v>20</v>
      </c>
      <c r="B28" s="1">
        <v>3</v>
      </c>
      <c r="C28" s="1">
        <v>11242</v>
      </c>
      <c r="D28" s="1">
        <v>33726</v>
      </c>
      <c r="E28" s="1" t="s">
        <v>87</v>
      </c>
      <c r="F28" t="str" cm="1">
        <f t="array" ref="F28">_xldudf_AI_EXTRACT(A28,"извлеки партномер состоящий из английских заглавных букв, цифр и тире")</f>
        <v>3NE4121</v>
      </c>
      <c r="H28" t="s">
        <v>127</v>
      </c>
    </row>
    <row r="29" spans="1:8" x14ac:dyDescent="0.3">
      <c r="A29" s="1" t="s">
        <v>25</v>
      </c>
      <c r="B29" s="1">
        <v>4</v>
      </c>
      <c r="C29" s="1">
        <v>7590</v>
      </c>
      <c r="D29" s="1">
        <v>30360</v>
      </c>
      <c r="E29" s="1" t="s">
        <v>88</v>
      </c>
      <c r="F29" t="str" cm="1">
        <f t="array" ref="F29">_xldudf_AI_EXTRACT(A29,"извлеки партномер состоящий из английских заглавных букв, цифр и тире")</f>
        <v>3NE1818-0</v>
      </c>
      <c r="H29" t="s">
        <v>157</v>
      </c>
    </row>
    <row r="30" spans="1:8" x14ac:dyDescent="0.3">
      <c r="A30" s="1" t="s">
        <v>13</v>
      </c>
      <c r="B30" s="1">
        <v>1</v>
      </c>
      <c r="C30" s="1">
        <v>29000</v>
      </c>
      <c r="D30" s="1">
        <v>29000</v>
      </c>
      <c r="E30" s="1" t="s">
        <v>89</v>
      </c>
      <c r="F30" t="str" cm="1">
        <f t="array" ref="F30">_xldudf_AI_EXTRACT(A30,"извлеки партномер состоящий из английских заглавных букв, цифр и тире")</f>
        <v>6FX8002-5CA11-1BF0</v>
      </c>
      <c r="H30" t="s">
        <v>158</v>
      </c>
    </row>
    <row r="31" spans="1:8" x14ac:dyDescent="0.3">
      <c r="A31" s="1" t="s">
        <v>2</v>
      </c>
      <c r="B31" s="1">
        <v>1</v>
      </c>
      <c r="C31" s="1">
        <v>25788</v>
      </c>
      <c r="D31" s="1">
        <v>25788</v>
      </c>
      <c r="E31" s="1" t="s">
        <v>90</v>
      </c>
      <c r="F31" t="str" cm="1">
        <f t="array" ref="F31">_xldudf_AI_EXTRACT(A31,"извлеки партномер состоящий из английских заглавных букв, цифр и тире")</f>
        <v>КТИ-5185</v>
      </c>
      <c r="H31" t="s">
        <v>159</v>
      </c>
    </row>
    <row r="32" spans="1:8" x14ac:dyDescent="0.3">
      <c r="A32" s="1" t="s">
        <v>24</v>
      </c>
      <c r="B32" s="1">
        <v>30</v>
      </c>
      <c r="C32" s="1">
        <v>850</v>
      </c>
      <c r="D32" s="1">
        <v>25500</v>
      </c>
      <c r="E32" s="1" t="s">
        <v>91</v>
      </c>
      <c r="F32" t="str" cm="1">
        <f t="array" ref="F32">_xldudf_AI_EXTRACT(A32,"извлеки партномер состоящий из английских заглавных букв, цифр и тире")</f>
        <v>3NW6001-1</v>
      </c>
      <c r="H32" t="s">
        <v>160</v>
      </c>
    </row>
    <row r="33" spans="1:8" x14ac:dyDescent="0.3">
      <c r="A33" s="1" t="s">
        <v>11</v>
      </c>
      <c r="B33" s="1">
        <v>1</v>
      </c>
      <c r="C33" s="1">
        <v>25000</v>
      </c>
      <c r="D33" s="1">
        <v>25000</v>
      </c>
      <c r="E33" s="1" t="s">
        <v>92</v>
      </c>
      <c r="F33" t="s">
        <v>112</v>
      </c>
      <c r="H33" t="s">
        <v>161</v>
      </c>
    </row>
    <row r="34" spans="1:8" x14ac:dyDescent="0.3">
      <c r="A34" s="1" t="s">
        <v>3</v>
      </c>
      <c r="B34" s="1">
        <v>2</v>
      </c>
      <c r="C34" s="1">
        <v>12400</v>
      </c>
      <c r="D34" s="1">
        <v>24800</v>
      </c>
      <c r="E34" s="1" t="s">
        <v>93</v>
      </c>
      <c r="F34" t="str" cm="1">
        <f t="array" ref="F34">_xldudf_AI_EXTRACT(A34,"извлеки партномер состоящий из английских заглавных букв, цифр и тире")</f>
        <v>3RT1035-1AP04</v>
      </c>
      <c r="H34" t="s">
        <v>162</v>
      </c>
    </row>
    <row r="35" spans="1:8" x14ac:dyDescent="0.3">
      <c r="A35" s="1" t="s">
        <v>21</v>
      </c>
      <c r="B35" s="1">
        <v>10</v>
      </c>
      <c r="C35" s="1">
        <v>2260</v>
      </c>
      <c r="D35" s="1">
        <v>22600</v>
      </c>
      <c r="E35" s="1" t="s">
        <v>94</v>
      </c>
      <c r="F35" t="str" cm="1">
        <f t="array" ref="F35">_xldudf_AI_EXTRACT(A35,"извлеки партномер состоящий из английских заглавных букв, цифр и тире")</f>
        <v>5SD440</v>
      </c>
      <c r="H35" t="s">
        <v>128</v>
      </c>
    </row>
    <row r="36" spans="1:8" x14ac:dyDescent="0.3">
      <c r="A36" s="1" t="s">
        <v>35</v>
      </c>
      <c r="B36" s="1">
        <v>10</v>
      </c>
      <c r="C36" s="1">
        <v>2149</v>
      </c>
      <c r="D36" s="1">
        <v>21490</v>
      </c>
      <c r="E36" s="1" t="s">
        <v>95</v>
      </c>
      <c r="F36" t="str" cm="1">
        <f t="array" ref="F36">_xldudf_AI_EXTRACT(A36,"извлеки партномер состоящий из английских заглавных букв, цифр и тире")</f>
        <v>ABHT1C6S</v>
      </c>
      <c r="H36" t="s">
        <v>129</v>
      </c>
    </row>
    <row r="37" spans="1:8" x14ac:dyDescent="0.3">
      <c r="A37" s="1" t="s">
        <v>40</v>
      </c>
      <c r="B37" s="1">
        <v>2</v>
      </c>
      <c r="C37" s="1">
        <v>9400</v>
      </c>
      <c r="D37" s="1">
        <v>18800</v>
      </c>
      <c r="E37" s="1" t="s">
        <v>96</v>
      </c>
      <c r="F37" t="s">
        <v>113</v>
      </c>
      <c r="H37" t="s">
        <v>163</v>
      </c>
    </row>
    <row r="38" spans="1:8" x14ac:dyDescent="0.3">
      <c r="A38" s="1" t="s">
        <v>32</v>
      </c>
      <c r="B38" s="1">
        <v>3</v>
      </c>
      <c r="C38" s="1">
        <v>5120</v>
      </c>
      <c r="D38" s="1">
        <v>15360</v>
      </c>
      <c r="E38" s="1" t="s">
        <v>97</v>
      </c>
      <c r="F38" t="str" cm="1">
        <f t="array" ref="F38">_xldudf_AI_EXTRACT(A38,"извлеки партномер состоящий из английских заглавных букв, цифр и тире")</f>
        <v>3RG4014-3AG01</v>
      </c>
      <c r="H38" t="s">
        <v>164</v>
      </c>
    </row>
    <row r="39" spans="1:8" x14ac:dyDescent="0.3">
      <c r="A39" s="1" t="s">
        <v>48</v>
      </c>
      <c r="B39" s="1">
        <v>1</v>
      </c>
      <c r="C39" s="1">
        <v>14000</v>
      </c>
      <c r="D39" s="1">
        <v>14000</v>
      </c>
      <c r="E39" s="1" t="s">
        <v>98</v>
      </c>
      <c r="F39" t="str" cm="1">
        <f t="array" ref="F39">_xldudf_AI_EXTRACT(A39,"извлеки партномер состоящий из английских заглавных букв, цифр и тире")</f>
        <v>LZS:PT5A5L24</v>
      </c>
      <c r="H39" t="s">
        <v>130</v>
      </c>
    </row>
    <row r="40" spans="1:8" x14ac:dyDescent="0.3">
      <c r="A40" s="1" t="s">
        <v>28</v>
      </c>
      <c r="B40" s="1">
        <v>20</v>
      </c>
      <c r="C40" s="1">
        <v>655</v>
      </c>
      <c r="D40" s="1">
        <v>13100</v>
      </c>
      <c r="E40" s="1" t="s">
        <v>99</v>
      </c>
      <c r="F40" t="str" cm="1">
        <f t="array" ref="F40">_xldudf_AI_EXTRACT(A40,"извлеки партномер состоящий из английских заглавных букв, цифр и тире")</f>
        <v>3NW6224-1</v>
      </c>
      <c r="H40" t="s">
        <v>165</v>
      </c>
    </row>
    <row r="41" spans="1:8" x14ac:dyDescent="0.3">
      <c r="A41" s="1" t="s">
        <v>53</v>
      </c>
      <c r="B41" s="1">
        <v>2</v>
      </c>
      <c r="C41" s="1">
        <v>4700</v>
      </c>
      <c r="D41" s="1">
        <v>9400</v>
      </c>
      <c r="E41" s="1" t="s">
        <v>100</v>
      </c>
      <c r="F41" t="str" cm="1">
        <f t="array" ref="F41">_xldudf_AI_EXTRACT(A41,"извлеки партномер состоящий из английских заглавных букв, цифр и тире")</f>
        <v>8MR2170-1BB</v>
      </c>
      <c r="H41" t="s">
        <v>166</v>
      </c>
    </row>
    <row r="42" spans="1:8" x14ac:dyDescent="0.3">
      <c r="A42" s="1" t="s">
        <v>22</v>
      </c>
      <c r="B42" s="1">
        <v>5</v>
      </c>
      <c r="C42" s="1">
        <v>1870</v>
      </c>
      <c r="D42" s="1">
        <v>9350</v>
      </c>
      <c r="E42" s="1" t="s">
        <v>101</v>
      </c>
      <c r="F42" t="str" cm="1">
        <f t="array" ref="F42">_xldudf_AI_EXTRACT(A42,"извлеки партномер состоящий из английских заглавных букв, цифр и тире")</f>
        <v>3NE4101</v>
      </c>
      <c r="H42" t="s">
        <v>131</v>
      </c>
    </row>
    <row r="43" spans="1:8" x14ac:dyDescent="0.3">
      <c r="A43" s="1" t="s">
        <v>41</v>
      </c>
      <c r="B43" s="1">
        <v>2</v>
      </c>
      <c r="C43" s="1">
        <v>4135</v>
      </c>
      <c r="D43" s="1">
        <v>8270</v>
      </c>
      <c r="E43" s="1" t="s">
        <v>102</v>
      </c>
      <c r="F43" t="str" cm="1">
        <f t="array" ref="F43">_xldudf_AI_EXTRACT(A43,"извлеки партномер состоящий из английских заглавных букв, цифр и тире")</f>
        <v>4G10-75U-R014</v>
      </c>
      <c r="H43" t="s">
        <v>167</v>
      </c>
    </row>
    <row r="44" spans="1:8" x14ac:dyDescent="0.3">
      <c r="A44" s="1" t="s">
        <v>36</v>
      </c>
      <c r="B44" s="1">
        <v>1</v>
      </c>
      <c r="C44" s="1">
        <v>7500</v>
      </c>
      <c r="D44" s="1">
        <v>7500</v>
      </c>
      <c r="E44" s="1" t="s">
        <v>103</v>
      </c>
      <c r="F44" t="str" cm="1">
        <f t="array" ref="F44">_xldudf_AI_EXTRACT(A44,"извлеки партномер состоящий из английских заглавных букв, цифр и тире")</f>
        <v>3WL9111-0AJ02-0AA0</v>
      </c>
      <c r="H44" t="s">
        <v>168</v>
      </c>
    </row>
    <row r="45" spans="1:8" x14ac:dyDescent="0.3">
      <c r="A45" s="1" t="s">
        <v>37</v>
      </c>
      <c r="B45" s="1">
        <v>10</v>
      </c>
      <c r="C45" s="1">
        <v>750</v>
      </c>
      <c r="D45" s="1">
        <v>7500</v>
      </c>
      <c r="E45" s="1" t="s">
        <v>86</v>
      </c>
      <c r="F45" t="str" cm="1">
        <f t="array" ref="F45">_xldudf_AI_EXTRACT(A45,"извлеки партномер состоящий из английских заглавных букв, цифр и тире")</f>
        <v>ALIL3L220</v>
      </c>
      <c r="H45" t="s">
        <v>132</v>
      </c>
    </row>
    <row r="46" spans="1:8" x14ac:dyDescent="0.3">
      <c r="A46" s="1" t="s">
        <v>51</v>
      </c>
      <c r="B46" s="1">
        <v>50</v>
      </c>
      <c r="C46" s="1">
        <v>120</v>
      </c>
      <c r="D46" s="1">
        <v>6000</v>
      </c>
      <c r="E46" s="1" t="s">
        <v>104</v>
      </c>
      <c r="F46" t="str" cm="1">
        <f t="array" ref="F46">_xldudf_AI_EXTRACT(A46,"извлеки партномер состоящий из английских заглавных букв, цифр и тире")</f>
        <v>SAR21725-00</v>
      </c>
      <c r="H46" t="s">
        <v>169</v>
      </c>
    </row>
    <row r="47" spans="1:8" x14ac:dyDescent="0.3">
      <c r="A47" s="1" t="s">
        <v>26</v>
      </c>
      <c r="B47" s="1">
        <v>6</v>
      </c>
      <c r="C47" s="1">
        <v>933</v>
      </c>
      <c r="D47" s="1">
        <v>5598</v>
      </c>
      <c r="E47" s="1" t="s">
        <v>105</v>
      </c>
      <c r="F47" t="str" cm="1">
        <f t="array" ref="F47">_xldudf_AI_EXTRACT(A47,"извлеки партномер состоящий из английских заглавных букв, цифр и тире")</f>
        <v>3NA3817</v>
      </c>
      <c r="H47" t="s">
        <v>133</v>
      </c>
    </row>
    <row r="48" spans="1:8" x14ac:dyDescent="0.3">
      <c r="A48" s="1" t="s">
        <v>45</v>
      </c>
      <c r="B48" s="1">
        <v>2</v>
      </c>
      <c r="C48" s="1">
        <v>2700</v>
      </c>
      <c r="D48" s="1">
        <v>5400</v>
      </c>
      <c r="E48" s="1" t="s">
        <v>106</v>
      </c>
      <c r="F48" t="str" cm="1">
        <f t="array" ref="F48">_xldudf_AI_EXTRACT(A48,"извлеки партномер состоящий из английских заглавных букв, цифр и тире")</f>
        <v>G6*1</v>
      </c>
      <c r="H48" t="s">
        <v>134</v>
      </c>
    </row>
    <row r="49" spans="1:8" x14ac:dyDescent="0.3">
      <c r="A49" s="1" t="s">
        <v>42</v>
      </c>
      <c r="B49" s="1">
        <v>2</v>
      </c>
      <c r="C49" s="1">
        <v>1400</v>
      </c>
      <c r="D49" s="1">
        <v>2800</v>
      </c>
      <c r="E49" s="1" t="s">
        <v>107</v>
      </c>
      <c r="F49" t="str" cm="1">
        <f t="array" ref="F49">_xldudf_AI_EXTRACT(A49,"извлеки партномер состоящий из английских заглавных букв, цифр и тире")</f>
        <v>Not found.</v>
      </c>
      <c r="H49" t="s">
        <v>118</v>
      </c>
    </row>
    <row r="50" spans="1:8" x14ac:dyDescent="0.3">
      <c r="A50" s="1" t="s">
        <v>43</v>
      </c>
      <c r="B50" s="1">
        <v>2</v>
      </c>
      <c r="C50" s="1">
        <v>1400</v>
      </c>
      <c r="D50" s="1">
        <v>2800</v>
      </c>
      <c r="E50" s="1" t="s">
        <v>107</v>
      </c>
      <c r="F50" t="str" cm="1">
        <f t="array" ref="F50">_xldudf_AI_EXTRACT(A50,"извлеки партномер состоящий из английских заглавных букв, цифр и тире")</f>
        <v>GN25 8828 U</v>
      </c>
      <c r="H50" t="s">
        <v>135</v>
      </c>
    </row>
    <row r="51" spans="1:8" x14ac:dyDescent="0.3">
      <c r="A51" s="1" t="s">
        <v>46</v>
      </c>
      <c r="B51" s="1">
        <v>4</v>
      </c>
      <c r="C51" s="1">
        <v>325</v>
      </c>
      <c r="D51" s="1">
        <v>1300</v>
      </c>
      <c r="E51" s="1" t="s">
        <v>108</v>
      </c>
      <c r="F51" t="str" cm="1">
        <f t="array" ref="F51">_xldudf_AI_EXTRACT(A51,"извлеки партномер состоящий из заглавных букв, цифр и тире")</f>
        <v>РП-21 003</v>
      </c>
      <c r="H51" t="s">
        <v>170</v>
      </c>
    </row>
    <row r="52" spans="1:8" x14ac:dyDescent="0.3">
      <c r="A52" s="1" t="s">
        <v>44</v>
      </c>
      <c r="B52" s="1">
        <v>10</v>
      </c>
      <c r="C52" s="1">
        <v>110</v>
      </c>
      <c r="D52" s="1">
        <v>1100</v>
      </c>
      <c r="E52" s="1" t="s">
        <v>109</v>
      </c>
      <c r="F52" t="str" cm="1">
        <f t="array" ref="F52">_xldudf_AI_EXTRACT(A52,"извлеки партномер состоящий из заглавных букв, цифр и тире")</f>
        <v>PE 021/1</v>
      </c>
      <c r="H52" t="s">
        <v>136</v>
      </c>
    </row>
    <row r="53" spans="1:8" x14ac:dyDescent="0.3">
      <c r="A53" s="1" t="s">
        <v>47</v>
      </c>
      <c r="B53" s="1">
        <v>2</v>
      </c>
      <c r="C53" s="1">
        <v>350</v>
      </c>
      <c r="D53" s="1">
        <v>700</v>
      </c>
      <c r="E53" s="1" t="s">
        <v>110</v>
      </c>
      <c r="F53" t="str" cm="1">
        <f t="array" ref="F53">_xldudf_AI_EXTRACT(A53,"извлеки партномер состоящий из заглавных букв, цифр и тире")</f>
        <v>РТЛ-1006</v>
      </c>
      <c r="H53" t="s">
        <v>171</v>
      </c>
    </row>
    <row r="54" spans="1:8" x14ac:dyDescent="0.3">
      <c r="A54" s="1" t="s">
        <v>54</v>
      </c>
      <c r="B54" s="1">
        <v>16</v>
      </c>
      <c r="C54" s="1">
        <v>1</v>
      </c>
      <c r="D54" s="1">
        <v>16</v>
      </c>
      <c r="E54" s="1" t="s">
        <v>111</v>
      </c>
      <c r="F54" t="s">
        <v>114</v>
      </c>
      <c r="H54" t="s">
        <v>114</v>
      </c>
    </row>
    <row r="55" spans="1:8" x14ac:dyDescent="0.3">
      <c r="A55" s="1" t="s">
        <v>55</v>
      </c>
      <c r="B55" s="1">
        <v>16</v>
      </c>
      <c r="C55" s="1">
        <v>1</v>
      </c>
      <c r="D55" s="1">
        <v>16</v>
      </c>
      <c r="E55" s="1" t="s">
        <v>111</v>
      </c>
      <c r="F55" t="str" cm="1">
        <f t="array" ref="F55">_xldudf_AI_EXTRACT(A55,"извлеки партномер состоящий из заглавных букв, цифр и тире")</f>
        <v>1SBN010120R1011</v>
      </c>
      <c r="H55" t="s">
        <v>137</v>
      </c>
    </row>
    <row r="56" spans="1:8" x14ac:dyDescent="0.3">
      <c r="A56" s="1" t="s">
        <v>50</v>
      </c>
      <c r="B56" s="1">
        <v>13</v>
      </c>
      <c r="C56" s="1">
        <v>1</v>
      </c>
      <c r="D56" s="1">
        <v>13</v>
      </c>
      <c r="E56" s="1" t="s">
        <v>111</v>
      </c>
      <c r="F56" t="str" cm="1">
        <f t="array" ref="F56">_xldudf_AI_EXTRACT(A56,"извлеки партномер состоящий из заглавных букв, цифр и тире")</f>
        <v>8WA20111SG23</v>
      </c>
      <c r="H56" t="s">
        <v>138</v>
      </c>
    </row>
    <row r="57" spans="1:8" x14ac:dyDescent="0.3">
      <c r="A57" s="1" t="s">
        <v>52</v>
      </c>
      <c r="B57" s="1">
        <v>4</v>
      </c>
      <c r="C57" s="1">
        <v>1</v>
      </c>
      <c r="D57" s="1">
        <v>4</v>
      </c>
      <c r="E57" s="1" t="s">
        <v>111</v>
      </c>
      <c r="F57" t="str" cm="1">
        <f t="array" ref="F57">_xldudf_AI_EXTRACT(A57,"извлеки партномер состоящий из заглавных букв, цифр и тире")</f>
        <v>CTX0620-666163</v>
      </c>
      <c r="H57" t="s">
        <v>172</v>
      </c>
    </row>
    <row r="58" spans="1:8" x14ac:dyDescent="0.3">
      <c r="A58" s="1" t="s">
        <v>58</v>
      </c>
      <c r="B58" s="1">
        <v>4</v>
      </c>
      <c r="C58" s="1">
        <v>1</v>
      </c>
      <c r="D58" s="1">
        <v>4</v>
      </c>
      <c r="E58" s="1" t="s">
        <v>111</v>
      </c>
      <c r="F58" t="str" cm="1">
        <f t="array" ref="F58">_xldudf_AI_EXTRACT(A58,"извлеки партномер состоящий из заглавных букв, цифр и тире")</f>
        <v>GT25 1P 6A</v>
      </c>
      <c r="H58" t="s">
        <v>139</v>
      </c>
    </row>
    <row r="59" spans="1:8" x14ac:dyDescent="0.3">
      <c r="A59" s="1" t="s">
        <v>49</v>
      </c>
      <c r="B59" s="1">
        <v>2</v>
      </c>
      <c r="C59" s="1">
        <v>1</v>
      </c>
      <c r="D59" s="1">
        <v>2</v>
      </c>
      <c r="E59" s="1" t="s">
        <v>111</v>
      </c>
      <c r="F59" t="str" cm="1">
        <f t="array" ref="F59">_xldudf_AI_EXTRACT(A59,"извлеки партномер состоящий из заглавных букв, цифр и тире")</f>
        <v>Ц42304</v>
      </c>
      <c r="H59" t="s">
        <v>140</v>
      </c>
    </row>
    <row r="60" spans="1:8" x14ac:dyDescent="0.3">
      <c r="A60" s="1" t="s">
        <v>56</v>
      </c>
      <c r="B60" s="1">
        <v>2</v>
      </c>
      <c r="C60" s="1">
        <v>1</v>
      </c>
      <c r="D60" s="1">
        <v>2</v>
      </c>
      <c r="E60" s="1" t="s">
        <v>111</v>
      </c>
      <c r="F60" t="str" cm="1">
        <f t="array" ref="F60">_xldudf_AI_EXTRACT(A60,"извлеки партномер состоящий из заглавных букв, цифр и тире")</f>
        <v>BCLL20-104706</v>
      </c>
      <c r="H60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</dc:creator>
  <cp:lastModifiedBy>Евгений</cp:lastModifiedBy>
  <dcterms:created xsi:type="dcterms:W3CDTF">2015-06-05T18:19:34Z</dcterms:created>
  <dcterms:modified xsi:type="dcterms:W3CDTF">2025-08-08T18:19:16Z</dcterms:modified>
</cp:coreProperties>
</file>