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ugene\Desktop\"/>
    </mc:Choice>
  </mc:AlternateContent>
  <xr:revisionPtr revIDLastSave="0" documentId="13_ncr:1_{C2E39C45-283A-4777-B919-9BA58D60E61F}" xr6:coauthVersionLast="47" xr6:coauthVersionMax="47" xr10:uidLastSave="{00000000-0000-0000-0000-000000000000}"/>
  <bookViews>
    <workbookView xWindow="-110" yWindow="-110" windowWidth="25820" windowHeight="1030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Лист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2" i="5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D2" i="5"/>
  <c r="C2" i="5"/>
  <c r="B2" i="5"/>
</calcChain>
</file>

<file path=xl/sharedStrings.xml><?xml version="1.0" encoding="utf-8"?>
<sst xmlns="http://schemas.openxmlformats.org/spreadsheetml/2006/main" count="5290" uniqueCount="2455">
  <si>
    <t>Контроллер свободно программируемый CPO-PC400 plant ctrl, модель/артикул CPO-PC400, кол-во 34</t>
  </si>
  <si>
    <t>CPO-PC400</t>
  </si>
  <si>
    <t>новый</t>
  </si>
  <si>
    <t>Mifare DesFEV2 8k Card 38bit-OmniAss&amp;lum, модель/артикул ODPEV28N38, кол-во 200</t>
  </si>
  <si>
    <t>ODPEV28N38</t>
  </si>
  <si>
    <t>Новый</t>
  </si>
  <si>
    <t>Exch Clip LCD Assy, модель/артикул 715-618E-001, кол-во 70</t>
  </si>
  <si>
    <t>715-618E-001</t>
  </si>
  <si>
    <t>Replacement filter for UG7, модель/артикул 781464, кол-во 100</t>
  </si>
  <si>
    <t>781464</t>
  </si>
  <si>
    <t>Singlemode FO converter ST, модель/артикул 784769, кол-во 23</t>
  </si>
  <si>
    <t>784769</t>
  </si>
  <si>
    <t>Spare glass pane for MCP, модель/артикул 704910, кол-во 1370</t>
  </si>
  <si>
    <t>704910</t>
  </si>
  <si>
    <t>OT multisensor detector, модель/артикул 802373, кол-во 350</t>
  </si>
  <si>
    <t>802373</t>
  </si>
  <si>
    <t>DP7500-2 ESSER/customized, модель/артикул 785026.10, кол-во 2</t>
  </si>
  <si>
    <t>785026.10</t>
  </si>
  <si>
    <t>Стыковочный узел, модель/артикул VM3001VMCRADLE, кол-во 20</t>
  </si>
  <si>
    <t>VM3001VMCRADLE</t>
  </si>
  <si>
    <t>Принтер, модель/артикул px940, кол-во 5</t>
  </si>
  <si>
    <t>PX940</t>
  </si>
  <si>
    <t>SINGLE CHANNEL ISOLATOR, модель/артикул y72221, кол-во 26</t>
  </si>
  <si>
    <t>Y72221</t>
  </si>
  <si>
    <t>ТСД thor vm1a, модель/артикул vm1a-l0n-1a1a20e, кол-во 5</t>
  </si>
  <si>
    <t>VM1A-L0N-1A1A20E</t>
  </si>
  <si>
    <t>Digital call station DCS15 RE, модель/артикул 583501.RE, кол-во 11</t>
  </si>
  <si>
    <t>583501.RE</t>
  </si>
  <si>
    <t>Room temperature sensor, модель/артикул T7470A1009, кол-во 140</t>
  </si>
  <si>
    <t>T7470A1009</t>
  </si>
  <si>
    <t>Ремешки для ТСД, модель/артикул 50125028-001, кол-во 1000</t>
  </si>
  <si>
    <t>50125028-001</t>
  </si>
  <si>
    <t>PAMMI Plus server/client, модель/артикул 583653, кол-во 2</t>
  </si>
  <si>
    <t>583653</t>
  </si>
  <si>
    <t>Singlemode FO converter ST, модель/артикул 784769, кол-во 10</t>
  </si>
  <si>
    <t>SCU VARIODYN D1 Version V3.1, модель/артикул 583381.31, кол-во 4</t>
  </si>
  <si>
    <t>583381.31</t>
  </si>
  <si>
    <t>INTERFACE MODUL PRO 2251 EIS, модель/артикул IST200E, кол-во 17</t>
  </si>
  <si>
    <t>IST200E</t>
  </si>
  <si>
    <t>ТСД, модель/артикул rt10w-l10-18c12s0e, кол-во 3</t>
  </si>
  <si>
    <t>RT10W-L10-18C12S0E</t>
  </si>
  <si>
    <t>Camera, 5MP Elastic Adh SubAssy CN70 CK70, модель/артикул 715-614-001, кол-во 20</t>
  </si>
  <si>
    <t>715-614-001</t>
  </si>
  <si>
    <t>Network card essernet module, модель/артикул FX808341, кол-во 23</t>
  </si>
  <si>
    <t>FX808341</t>
  </si>
  <si>
    <t>PRINTHEAD 300DPI-I-4308, модель/артикул PHD20-2182-01, кол-во 14</t>
  </si>
  <si>
    <t>PHD20-2182-01</t>
  </si>
  <si>
    <t>M4-RS232-iso Interface module, модель/артикул 784870, кол-во 41</t>
  </si>
  <si>
    <t>784870</t>
  </si>
  <si>
    <t>VARIODYN D1 Comprio 4-8 net, модель/артикул 583944, кол-во 2</t>
  </si>
  <si>
    <t>583944</t>
  </si>
  <si>
    <t>SURFACE STATION PUSH DOOR, модель/артикул EVCS-HSP, кол-во 14</t>
  </si>
  <si>
    <t>EVCS-HSP</t>
  </si>
  <si>
    <t>Loop card esserbus/esserbus-PL, модель/артикул FX808332, кол-во 39</t>
  </si>
  <si>
    <t>FX808332</t>
  </si>
  <si>
    <t>Indicating a. oper. panel, GB, модель/артикул 788401, кол-во 14</t>
  </si>
  <si>
    <t>788401</t>
  </si>
  <si>
    <t>AV PHASE II SOUNDER NON ISO, модель/артикул WSO-PP-N00, кол-во 150</t>
  </si>
  <si>
    <t>WSO-PP-N00</t>
  </si>
  <si>
    <t>Cable for cabinet rear panel DOM4-8, модель/артикул 583451.21, кол-во 61</t>
  </si>
  <si>
    <t>583451.21</t>
  </si>
  <si>
    <t>M4-RS485-iso Interface module, модель/артикул 784871, кол-во 20</t>
  </si>
  <si>
    <t>784871</t>
  </si>
  <si>
    <t>Ремешки для ТСД, модель/артикул 50141384-001, кол-во 700</t>
  </si>
  <si>
    <t>50141384-001</t>
  </si>
  <si>
    <t>VARIODYN D1 Comprio 4-8, модель/артикул 583940, кол-во 2</t>
  </si>
  <si>
    <t>583940</t>
  </si>
  <si>
    <t>Loop isolator module LIM, модель/артикул 583342, кол-во 70</t>
  </si>
  <si>
    <t>583342</t>
  </si>
  <si>
    <t>DESK OPERATOR ENTRY PANEL, модель/артикул TP-DSOEP1-100, кол-во 1</t>
  </si>
  <si>
    <t>TP-DSOEP1-100</t>
  </si>
  <si>
    <t>THOR, WWAN ANT KIT, 14 FT, MAGNETIC MNT, модель/артикул VM1278ANTENNA, кол-во 17</t>
  </si>
  <si>
    <t>VM1278ANTENNA</t>
  </si>
  <si>
    <t>LOCKABLE OUTMEDIA GUIDE ROHS, модель/артикул 532069, кол-во 30</t>
  </si>
  <si>
    <t>532069</t>
  </si>
  <si>
    <t>Loop card esserbus/esserbus-PL, модель/артикул FX808331, кол-во 26</t>
  </si>
  <si>
    <t>FX808331</t>
  </si>
  <si>
    <t>PAMMI Plus client, модель/артикул 583652, кол-во 2</t>
  </si>
  <si>
    <t>583652</t>
  </si>
  <si>
    <t>IQ8MCP electronic module, 85319000, модель/артикул 804905, кол-во 93</t>
  </si>
  <si>
    <t>804905</t>
  </si>
  <si>
    <t>IQ8MCP compact, small, модель/артикул 804971, кол-во 59</t>
  </si>
  <si>
    <t>804971</t>
  </si>
  <si>
    <t>Сканер штрих-кода, модель/артикул 1990ixr-3ser-r, кол-во 9</t>
  </si>
  <si>
    <t>1990IXR-3SER-R</t>
  </si>
  <si>
    <t>SINGLE CHANNEL ISOLATOR, модель/артикул Y72221-L4, кол-во 10</t>
  </si>
  <si>
    <t>Y72221-L4</t>
  </si>
  <si>
    <t>Resett. element for small MCP, модель/артикул 704964, кол-во 130</t>
  </si>
  <si>
    <t>704964</t>
  </si>
  <si>
    <t>PTIR DET NO ISOLATOR EPOTOS IVORY, модель/артикул 22051TLE-74-IV, кол-во 100</t>
  </si>
  <si>
    <t>22051TLE-74-IV</t>
  </si>
  <si>
    <t>Replacement filter mats, модель/артикул F-INF-25-RF, кол-во 46</t>
  </si>
  <si>
    <t>F-INF-25-RF</t>
  </si>
  <si>
    <t>SM RIO module 32 ch 24Vdc, модель/артикул FC-RUSIO-3224, кол-во 1</t>
  </si>
  <si>
    <t>FC-RUSIO-3224</t>
  </si>
  <si>
    <t>4MP Bullet,2.7-13.5mm,MFZ,H.265,PoE,IP66, модель/артикул HBW4PER2V, кол-во 18</t>
  </si>
  <si>
    <t>HBW4PER2V</t>
  </si>
  <si>
    <t>Server cabinet, модель/артикул SVRCAB01, кол-во 1</t>
  </si>
  <si>
    <t>SVRCAB01</t>
  </si>
  <si>
    <t>PROFI Heat Detector, модель/артикул PROFI-T, кол-во 422</t>
  </si>
  <si>
    <t>PROFI-T</t>
  </si>
  <si>
    <t>Serial essernet interface 2, модель/артикул 784850, кол-во 3</t>
  </si>
  <si>
    <t>784850</t>
  </si>
  <si>
    <t>Cable, USB-A to USB-B, 2meter RoHS, модель/артикул 321-576-004, кол-во 102</t>
  </si>
  <si>
    <t>321-576-004</t>
  </si>
  <si>
    <t>ANALOGUE I/FACE DET S/S O/P MODULE, модель/артикул M201E, кол-во 120</t>
  </si>
  <si>
    <t>M201E</t>
  </si>
  <si>
    <t>Esserbus transponder 12 relays, модель/артикул 808610.10, кол-во 18</t>
  </si>
  <si>
    <t>808610.10</t>
  </si>
  <si>
    <t>VARIODYN D1 DOM4-8, модель/артикул 583361.22, кол-во 1</t>
  </si>
  <si>
    <t>583361.22</t>
  </si>
  <si>
    <t>Bus transponder IQ8FCT LP, модель/артикул 808621, кол-во 31</t>
  </si>
  <si>
    <t>808621</t>
  </si>
  <si>
    <t>PAMMI Plus PA server, модель/артикул 583651, кол-во 1</t>
  </si>
  <si>
    <t>583651</t>
  </si>
  <si>
    <t>Esserbus alarm transponder, модель/артикул 808623, кол-во 19</t>
  </si>
  <si>
    <t>808623</t>
  </si>
  <si>
    <t>Digital Call Station DCS Plus, модель/артикул 583520, кол-во 3</t>
  </si>
  <si>
    <t>583520</t>
  </si>
  <si>
    <t>CRADLE, 1472G, CLASS2, RS232/USB/KBW/IBM1:1, модель/артикул CCB01-010BT-V1N, кол-во 12</t>
  </si>
  <si>
    <t>CCB01-010BT-V1N</t>
  </si>
  <si>
    <t>ТСД Планшет, модель/артикул rt10w-l10-18c12e0e, кол-во 1</t>
  </si>
  <si>
    <t>RT10W-L10-18C12E0E</t>
  </si>
  <si>
    <t>Spare glass pane for MCP, модель/артикул 704910, кол-во 200</t>
  </si>
  <si>
    <t>REMOTE TEST STATION, модель/артикул RTS151, кол-во 60</t>
  </si>
  <si>
    <t>RTS151</t>
  </si>
  <si>
    <t>Remote indicator esserbus-PLus, модель/артикул 801824, кол-во 127</t>
  </si>
  <si>
    <t>801824</t>
  </si>
  <si>
    <t>DOCK, ENH, W/INTEGRAL PWR SPLY, 10-60 VDC, модель/артикул VM3001VMCRADLE, кол-во 4</t>
  </si>
  <si>
    <t>OPTIMA XTC HC CU, модель/артикул 2108N4800N, кол-во 1</t>
  </si>
  <si>
    <t>2108N4800N</t>
  </si>
  <si>
    <t>Controller cabinet 09, модель/артикул SMCAB09, кол-во 1</t>
  </si>
  <si>
    <t>SMCAB09</t>
  </si>
  <si>
    <t>TPH, 203 dpi 4in, Assy Spare PM43., модель/артикул 710-129S-001, кол-во 16</t>
  </si>
  <si>
    <t>710-129S-001</t>
  </si>
  <si>
    <t>Serial essernet interface 2, модель/артикул 784850, кол-во 2</t>
  </si>
  <si>
    <t>FO switch multimode, модель/артикул 583392, кол-во 2</t>
  </si>
  <si>
    <t>583392</t>
  </si>
  <si>
    <t>IQ8MCP compact, small, модель/артикул 804973, кол-во 39</t>
  </si>
  <si>
    <t>804973</t>
  </si>
  <si>
    <t>CHARGE &amp; COMMUNICATION BASE, 100M BT, модель/артикул CCB02-100BT-07N, кол-во 10</t>
  </si>
  <si>
    <t>CCB02-100BT-07N</t>
  </si>
  <si>
    <t>SURFACE STATION PUSH DOOR, модель/артикул EVCS-HSP, кол-во 4</t>
  </si>
  <si>
    <t>4-pos Battery Chgr, CN70, No Pwr Cord,EU, модель/артикул DX2A2AA20, кол-во 6</t>
  </si>
  <si>
    <t>DX2A2AA20</t>
  </si>
  <si>
    <t>AV PHASE II SOUNDER NON ISO, модель/артикул WSO-PP-N00, кол-во 50</t>
  </si>
  <si>
    <t>MASTER HANDSET DESK MOUNTED, модель/артикул EVCS-MS, кол-во 1</t>
  </si>
  <si>
    <t>EVCS-MS</t>
  </si>
  <si>
    <t>SC SAFETY DIO IOM 24VDC, 32CH, модель/артикул FC-PDIO01, кол-во 1</t>
  </si>
  <si>
    <t>FC-PDIO01</t>
  </si>
  <si>
    <t>Heavy weight drawer with, модель/артикул FX808430.10R, кол-во 2</t>
  </si>
  <si>
    <t>FX808430.10R</t>
  </si>
  <si>
    <t>SURFACE OUTSTATION TYPE B, модель/артикул EVCS-HSB, кол-во 17</t>
  </si>
  <si>
    <t>EVCS-HSB</t>
  </si>
  <si>
    <t>Digital Call Station DCS Plus, модель/артикул 583520, кол-во 2</t>
  </si>
  <si>
    <t>FO converter for esser, модель/артикул 784766, кол-во 2</t>
  </si>
  <si>
    <t>784766</t>
  </si>
  <si>
    <t>VM2 RAM KIT, TRUK BS, SHRT ARM, BALL, KYBRD, модель/артикул VM2017BRKTKIT, кол-во 5</t>
  </si>
  <si>
    <t>VM2017BRKTKIT</t>
  </si>
  <si>
    <t>Singlemode FO converter ST, модель/артикул 784769, кол-во 2</t>
  </si>
  <si>
    <t>PW-5000 TILE MOUNT REMOTE ENCLOSURE EU V, модель/артикул PW5K1ENC3E, кол-во 7</t>
  </si>
  <si>
    <t>PW5K1ENC3E</t>
  </si>
  <si>
    <t>S/SENSOR-ISOLATION-BC068R-FE1140-F222, модель/артикул W5A-RP02SF-E010-02, кол-во 14</t>
  </si>
  <si>
    <t>W5A-RP02SF-E010-02</t>
  </si>
  <si>
    <t>Option Fire system ESSER, модель/артикул WM3110, кол-во 2</t>
  </si>
  <si>
    <t>WM3110</t>
  </si>
  <si>
    <t>OPT DET ISOLATOR IVORY TENZOR, модель/артикул 22051EI-64-IV, кол-во 60</t>
  </si>
  <si>
    <t>22051EI-64-IV</t>
  </si>
  <si>
    <t>Leo Smoke-Heat Detector, модель/артикул LEONARDO-OT, кол-во 213</t>
  </si>
  <si>
    <t>LEONARDO-OT</t>
  </si>
  <si>
    <t>ASSY, FNL, XLS-GW-EM-3, модель/артикул XLS-GW-EM-3, кол-во 1</t>
  </si>
  <si>
    <t>XLS-GW-EM-3</t>
  </si>
  <si>
    <t>Power supply-QUINT4-PS/1AC/24DC/20/+, модель/артикул 2904617, кол-во 5</t>
  </si>
  <si>
    <t>2904617</t>
  </si>
  <si>
    <t>PB-BR-1301- CSI-25-10, модель/артикул I90671-0, кол-во 20</t>
  </si>
  <si>
    <t>I90671-0</t>
  </si>
  <si>
    <t>Loop LED remote ind. panel, модель/артикул 804791, кол-во 6</t>
  </si>
  <si>
    <t>804791</t>
  </si>
  <si>
    <t>EN SOUNDER-RED-IP65, модель/артикул CWSO-RR-W1, кол-во 61</t>
  </si>
  <si>
    <t>CWSO-RR-W1</t>
  </si>
  <si>
    <t>Output cable amplifier-DOM, модель/артикул 583476.21, кол-во 37</t>
  </si>
  <si>
    <t>583476.21</t>
  </si>
  <si>
    <t>3-WIRE DIFF. PRESSURE TRANSMITTER W. HMI, модель/артикул PTHDB0062V3, кол-во 2</t>
  </si>
  <si>
    <t>PTHDB0062V3</t>
  </si>
  <si>
    <t>Fibre Optic Module MM, модель/артикул 583392.11, кол-во 17</t>
  </si>
  <si>
    <t>583392.11</t>
  </si>
  <si>
    <t>AV PHASE II SOUNDER ISO, модель/артикул WSO-PP-I63, кол-во 24</t>
  </si>
  <si>
    <t>WSO-PP-I63</t>
  </si>
  <si>
    <t>Heavy weight drawer with, модель/артикул FX808430.18R, кол-во 1</t>
  </si>
  <si>
    <t>FX808430.18R</t>
  </si>
  <si>
    <t>Ремешок на руку для ТСД Hand Strap, TERMINAL, EDA51K, модель/артикул EDA51K-HS-1PK, кол-во 193</t>
  </si>
  <si>
    <t>EDA51K-HS-1PK</t>
  </si>
  <si>
    <t>Mounting adapter esser, модель/артикул 805577, кол-во 80</t>
  </si>
  <si>
    <t>805577</t>
  </si>
  <si>
    <t>Backup cable RC 22, модель/артикул 583422.21, кол-во 24</t>
  </si>
  <si>
    <t>583422.21</t>
  </si>
  <si>
    <t>W SBEACON-RED-WHITE LED извещатель, модель/артикул CWSS-RW-S5, кол-во 25</t>
  </si>
  <si>
    <t>CWSS-RW-S5</t>
  </si>
  <si>
    <t>KIT, PLATEN, модель/артикул ROL78-2787-01, кол-во 51</t>
  </si>
  <si>
    <t>ROL78-2787-01</t>
  </si>
  <si>
    <t>RT10 2-BAY BATTERY CHARGER, модель/артикул RT10-BC-2, кол-во 4</t>
  </si>
  <si>
    <t>RT10-BC-2</t>
  </si>
  <si>
    <t>Controller module for bundle, модель/артикул FX808328.10R, кол-во 1</t>
  </si>
  <si>
    <t>FX808328.10R</t>
  </si>
  <si>
    <t>MCP housing, large, green, модель/артикул 704904, кол-во 111</t>
  </si>
  <si>
    <t>704904</t>
  </si>
  <si>
    <t>PH/TH CO-IR AP DET.TENZOR IV, модель/артикул 2251CTLE-64-IV, кол-во 10</t>
  </si>
  <si>
    <t>2251CTLE-64-IV</t>
  </si>
  <si>
    <t>MODULE 240VRELAY W/O KNOCKOUTS, модель/артикул TC810E1040, кол-во 17</t>
  </si>
  <si>
    <t>TC810E1040</t>
  </si>
  <si>
    <t>SBEACON-RED-RED LENS-FF, модель/артикул CWSS-RB-S8, кол-во 40</t>
  </si>
  <si>
    <t>CWSS-RB-S8</t>
  </si>
  <si>
    <t>2/PK ASSY PLATEN ROLL UPPER H8, модель/артикул ROL15-3058-21, кол-во 11</t>
  </si>
  <si>
    <t>ROL15-3058-21</t>
  </si>
  <si>
    <t>ASD SPL PT CLIP STD 4.5MM(11/64INCH),5PC, модель/артикул F-PC-4.5, кол-во 70</t>
  </si>
  <si>
    <t>F-PC-4.5</t>
  </si>
  <si>
    <t>MPG DP10K-IP, модель/артикул 85080, кол-во 1</t>
  </si>
  <si>
    <t>85080</t>
  </si>
  <si>
    <t>ASD SPL PT CLIP STD 3.5MM(9/64 INCH),5PC, модель/артикул F-PC-3.5, кол-во 80</t>
  </si>
  <si>
    <t>F-PC-3.5</t>
  </si>
  <si>
    <t>Flexible Pipe 1M, 25mm, модель/артикул F-FP1-25, кол-во 12</t>
  </si>
  <si>
    <t>F-FP1-25</t>
  </si>
  <si>
    <t>Изоляционный модуль ISOLATOR MODULE, модель/артикул TC811E1023, кол-во 23</t>
  </si>
  <si>
    <t>TC811E1023</t>
  </si>
  <si>
    <t>Marshalling and relay cabinet, модель/артикул MRC04, кол-во 1</t>
  </si>
  <si>
    <t>MRC04</t>
  </si>
  <si>
    <t>Marshalling and relay cabinet, модель/артикул MRC06, кол-во 1</t>
  </si>
  <si>
    <t>MRC06</t>
  </si>
  <si>
    <t>Marshalling and relay cabinet, модель/артикул MRC12, кол-во 1</t>
  </si>
  <si>
    <t>MRC12</t>
  </si>
  <si>
    <t>Controller cabinet 02, модель/артикул SMCAB02, кол-во 1</t>
  </si>
  <si>
    <t>SMCAB02</t>
  </si>
  <si>
    <t>Controller cabinet 06, модель/артикул SMCAB06, кол-во 1</t>
  </si>
  <si>
    <t>SMCAB06</t>
  </si>
  <si>
    <t>Digital call station DCS15 RE, модель/артикул 583501.RE, кол-во 1</t>
  </si>
  <si>
    <t>SCREEN PROTECTOR, NEW, 70/75E, модель/артикул 50134963-001, кол-во 25</t>
  </si>
  <si>
    <t>50134963-001</t>
  </si>
  <si>
    <t>Output cable 2 amplifiers-DOM, модель/артикул 583477.21, кол-во 15</t>
  </si>
  <si>
    <t>583477.21</t>
  </si>
  <si>
    <t>Digital Call Station DCS Plus, модель/артикул 583520, кол-во 1</t>
  </si>
  <si>
    <t>Digital key module DKM18.01, модель/артикул 583506, кол-во 2</t>
  </si>
  <si>
    <t>583506</t>
  </si>
  <si>
    <t>Multimode FO converter ST, модель/артикул 784768, кол-во 2</t>
  </si>
  <si>
    <t>784768</t>
  </si>
  <si>
    <t>PH/TH DET ISO IVORY SFERA SB, модель/артикул 22051TEI-63-IV, кол-во 22</t>
  </si>
  <si>
    <t>22051TEI-63-IV</t>
  </si>
  <si>
    <t>Устройство расширения Dell Universal Dock D6000-EU, модель/артикул 150739CPT, кол-во 7</t>
  </si>
  <si>
    <t>150739CPT</t>
  </si>
  <si>
    <t>O²T/FSp multis. detector, RU, модель/артикул 802385.SVRU, кол-во 12</t>
  </si>
  <si>
    <t>802385.SVRU</t>
  </si>
  <si>
    <t>W BEACON-WHITE-WHITE LED-FF, модель/артикул CWST-WW-S6, кол-во 18</t>
  </si>
  <si>
    <t>CWST-WW-S6</t>
  </si>
  <si>
    <t>Заглушка на трубу ASD CAP DISCRETE END PK10, модель/артикул 222-059, кол-во 255</t>
  </si>
  <si>
    <t>222-059</t>
  </si>
  <si>
    <t>ACCESS BEAM CONV/L HEATER FOR BEAM UNIT, модель/артикул BEAMHK, кол-во 18</t>
  </si>
  <si>
    <t>BEAMHK</t>
  </si>
  <si>
    <t>End-of-line module (EOL), модель/артикул 583496, кол-во 25</t>
  </si>
  <si>
    <t>583496</t>
  </si>
  <si>
    <t>Socket Union (ABS) for 25mm Pipe, модель/артикул F-SU-25, кол-во 82</t>
  </si>
  <si>
    <t>F-SU-25</t>
  </si>
  <si>
    <t>2/PK ASSY PLATEN ROLL UPPER H4, модель/артикул ROL15-3058-01, кол-во 19</t>
  </si>
  <si>
    <t>ROL15-3058-01</t>
  </si>
  <si>
    <t>ASD SPL PT CLIP STD 2.0mm(5/64 inch),5Pc, модель/артикул F-PC-2, кол-во 50</t>
  </si>
  <si>
    <t>F-PC-2</t>
  </si>
  <si>
    <t>Univ Pwr Supply, 12V, 8A, Level VI, AE21, модель/артикул 851-064-416, кол-во 12</t>
  </si>
  <si>
    <t>851-064-416</t>
  </si>
  <si>
    <t>FRE, ASSY, PCBACT40Gen2, WLAN, 4G, SOM4, модель/артикул 50163802-001FRE, кол-во 10</t>
  </si>
  <si>
    <t>50163802-001FRE</t>
  </si>
  <si>
    <t>Notifier module 1 input, модель/артикул NFR-M-1DI, кол-во 27</t>
  </si>
  <si>
    <t>NFR-M-1DI</t>
  </si>
  <si>
    <t>DETECTOR BEAM Imager 7º coverage 24Vdc, модель/артикул OSI-10, кол-во 1</t>
  </si>
  <si>
    <t>OSI-10</t>
  </si>
  <si>
    <t>KIT XLSNET NGM CARD, модель/артикул 020-647-100, кол-во 1</t>
  </si>
  <si>
    <t>020-647-100</t>
  </si>
  <si>
    <t>Replacement filter mats, модель/артикул F-INF-25-RF, кол-во 10</t>
  </si>
  <si>
    <t>Корпус настенной установки ANALOGUE I/FACE DET MODULE S/FACE BOX, модель/артикул M200E-SMB, кол-во 132</t>
  </si>
  <si>
    <t>M200E-SMB</t>
  </si>
  <si>
    <t>Зарядное устройство, модель/артикул 852-918-002, кол-во 7</t>
  </si>
  <si>
    <t>852-918-002</t>
  </si>
  <si>
    <t>SBEACON-WHITE-AMBER LENS, модель/артикул CWSS-WA-S7, кол-во 19</t>
  </si>
  <si>
    <t>CWSS-WA-S7</t>
  </si>
  <si>
    <t>Mounting kit for ducts, модель/артикул 781469, кол-во 11</t>
  </si>
  <si>
    <t>781469</t>
  </si>
  <si>
    <t>WCP5A (S/SENSOR - NON ISOLATION), модель/артикул W5A-RP01SG-K013-01, кол-во 6</t>
  </si>
  <si>
    <t>W5A-RP01SG-K013-01</t>
  </si>
  <si>
    <t>SENSOR BASE HEATED INTELL. (REQUIRES S, модель/артикул B524HTR, кол-во 10</t>
  </si>
  <si>
    <t>B524HTR</t>
  </si>
  <si>
    <t>78°C FIX TH ISO IVORY TENZOR, модель/артикул 52051HTEI-64-IV, кол-во 10</t>
  </si>
  <si>
    <t>52051HTEI-64-IV</t>
  </si>
  <si>
    <t>ТСД, модель/артикул ck65lon, кол-во 2</t>
  </si>
  <si>
    <t>CK65LON</t>
  </si>
  <si>
    <t>GMT4000 Active repeater panel, модель/артикул FX808464, кол-во 1</t>
  </si>
  <si>
    <t>FX808464</t>
  </si>
  <si>
    <t>EXTERNAL FILTER FAAST SYSTEM, модель/артикул F-INF-25, кол-во 7</t>
  </si>
  <si>
    <t>F-INF-25</t>
  </si>
  <si>
    <t>AV PHASE II S/STROBE NON ISO, модель/артикул WSS-PC-N00, кол-во 20</t>
  </si>
  <si>
    <t>WSS-PC-N00</t>
  </si>
  <si>
    <t>O SBEACON-RED-RED LED, модель/артикул CWSS-RR-S3, кол-во 20</t>
  </si>
  <si>
    <t>CWSS-RR-S3</t>
  </si>
  <si>
    <t>ASD SPL PT CLIP STD 5.0MM(13/64INCH),5PC, модель/артикул F-PC-5, кол-во 50</t>
  </si>
  <si>
    <t>F-PC-5</t>
  </si>
  <si>
    <t>Standard base UniVario, модель/артикул 783313, кол-во 4</t>
  </si>
  <si>
    <t>783313</t>
  </si>
  <si>
    <t>AV PHASE II S/STROBE NON ISO, модель/артикул WSS-PR-N01, кол-во 4</t>
  </si>
  <si>
    <t>WSS-PR-N01</t>
  </si>
  <si>
    <t>Interface module RS232/24 V, модель/артикул 772386, кол-во 10</t>
  </si>
  <si>
    <t>772386</t>
  </si>
  <si>
    <t>Mounting kit 1: 24pcs nuts,screws,washer, модель/артикул 583703, кол-во 18</t>
  </si>
  <si>
    <t>583703</t>
  </si>
  <si>
    <t>EN SOUNDER-RED, модель/артикул CWSO-RR-S1, кол-во 40</t>
  </si>
  <si>
    <t>CWSO-RR-S1</t>
  </si>
  <si>
    <t>WINMAG plus Installation Media, модель/артикул WM1001, кол-во 3</t>
  </si>
  <si>
    <t>WM1001</t>
  </si>
  <si>
    <t>SBEACON-RED-RED LENS-IP65, модель/артикул CWSS-RB-W7, кол-во 20</t>
  </si>
  <si>
    <t>CWSS-RB-W7</t>
  </si>
  <si>
    <t>Rate-of-rise heat det. Ex (i), модель/артикул 803271.EX, кол-во 6</t>
  </si>
  <si>
    <t>803271.EX</t>
  </si>
  <si>
    <t>BACKBOX KIT STD ID2K/2K8/3K {BB1-OB}, модель/артикул 020-472-009, кол-во 3</t>
  </si>
  <si>
    <t>020-472-009</t>
  </si>
  <si>
    <t>ANALOG OUTPUT MODULE (LON), модель/артикул XFLR822A, кол-во 2</t>
  </si>
  <si>
    <t>XFLR822A</t>
  </si>
  <si>
    <t>Dummy cover f. 19» rack, 2 HU, модель/артикул 583705, кол-во 25</t>
  </si>
  <si>
    <t>583705</t>
  </si>
  <si>
    <t>Extension module with 3 add., модель/артикул 772476, кол-во 8</t>
  </si>
  <si>
    <t>772476</t>
  </si>
  <si>
    <t>BOX MCP SURFACE MOUNT RED 1 TERMINALps, модель/артикул PS031W, кол-во 200</t>
  </si>
  <si>
    <t>PS031W</t>
  </si>
  <si>
    <t>Output cable 2 amplifiers-DOM, модель/артикул 583477.21, кол-во 9</t>
  </si>
  <si>
    <t>ASD SPL PT CLIP STD 6.0MM(15/64INCH),5PC, модель/артикул F-PC-6, кол-во 40</t>
  </si>
  <si>
    <t>F-PC-6</t>
  </si>
  <si>
    <t>Док-станция, модель/артикул ccb05-100bt-07n, кол-во 3</t>
  </si>
  <si>
    <t>CCB05-100BT-07N</t>
  </si>
  <si>
    <t>ANALOGUE I/FACE DET S/S O/P MODULE, модель/артикул M201E, кол-во 20</t>
  </si>
  <si>
    <t>External Water Trap Kit, 25mm, модель/артикул F-WT-25, кол-во 10</t>
  </si>
  <si>
    <t>F-WT-25</t>
  </si>
  <si>
    <t>Extension module carrier 1, модель/артикул FX808322, кол-во 12</t>
  </si>
  <si>
    <t>FX808322</t>
  </si>
  <si>
    <t>INTELLIGENT PHOTOELECTRIC SMOKE DETECTOR, модель/артикул XLS-PSI, кол-во 6</t>
  </si>
  <si>
    <t>XLS-PSI</t>
  </si>
  <si>
    <t>Weatherproof Type A Outstation, модель/артикул EVCS-HFW, кол-во 2</t>
  </si>
  <si>
    <t>EVCS-HFW</t>
  </si>
  <si>
    <t>Backup cable RC41, 3:1, 0,5m, модель/артикул 583441.10, кол-во 7</t>
  </si>
  <si>
    <t>583441.10</t>
  </si>
  <si>
    <t>CT40 RUBBER BOOT, модель/артикул CT40-RB-00, кол-во 27</t>
  </si>
  <si>
    <t>CT40-RB-00</t>
  </si>
  <si>
    <t>Sm housing for small MCP, модель/артикул 704980, кол-во 40</t>
  </si>
  <si>
    <t>704980</t>
  </si>
  <si>
    <t>6 W Cabinet loudspeaker EN, модель/артикул 582426, кол-во 16</t>
  </si>
  <si>
    <t>582426</t>
  </si>
  <si>
    <t>I2C-RS232 converter, модель/артикул 583386.21, кол-во 3</t>
  </si>
  <si>
    <t>583386.21</t>
  </si>
  <si>
    <t>EN SOUNDER-WHITE, модель/артикул CWSO-WW-S1, кол-во 20</t>
  </si>
  <si>
    <t>CWSO-WW-S1</t>
  </si>
  <si>
    <t>Spare glass pane f. small MCP, модель/артикул 704960, кол-во 24</t>
  </si>
  <si>
    <t>704960</t>
  </si>
  <si>
    <t>Cable set 24 V DC / 4XD125B, модель/артикул 583414, кол-во 15</t>
  </si>
  <si>
    <t>583414</t>
  </si>
  <si>
    <t>Fixed heat detector, модель/артикул 802171, кол-во 17</t>
  </si>
  <si>
    <t>802171</t>
  </si>
  <si>
    <t>2 INPUT, 1 OUT MODULE - ESMI, модель/артикул EM221E, кол-во 11</t>
  </si>
  <si>
    <t>EM221E</t>
  </si>
  <si>
    <t>HOLSTER, CK7X W/O SCAN HANDLE, модель/артикул 815-068-001, кол-во 5</t>
  </si>
  <si>
    <t>815-068-001</t>
  </si>
  <si>
    <t>Input cable DOM-amp. 0,5m green, модель/артикул 583491A, кол-во 56</t>
  </si>
  <si>
    <t>583491A</t>
  </si>
  <si>
    <t>20 W Column loudspeaker EN, модель/артикул 582476, кол-во 4</t>
  </si>
  <si>
    <t>582476</t>
  </si>
  <si>
    <t>ASD SPL PT CLIP STD 3.0mm (1/8 inch), 5Pc, модель/артикул F-PC-3, кол-во 30</t>
  </si>
  <si>
    <t>F-PC-3</t>
  </si>
  <si>
    <t>Refurbishment zone transponder, модель/артикул 808631.10, кол-во 2</t>
  </si>
  <si>
    <t>808631.10</t>
  </si>
  <si>
    <t>HOLSTER, CT50, модель/артикул 825-238-001, кол-во 13</t>
  </si>
  <si>
    <t>825-238-001</t>
  </si>
  <si>
    <t>VESDA FILTER INLINE PK4, модель/артикул VSP-855-4, кол-во 3</t>
  </si>
  <si>
    <t>VSP-855-4</t>
  </si>
  <si>
    <t>Protective cage, модель/артикул 781550, кол-во 20</t>
  </si>
  <si>
    <t>781550</t>
  </si>
  <si>
    <t>IP 43 moisture-proof sm base, модель/артикул 805572.50, кол-во 41</t>
  </si>
  <si>
    <t>805572.50</t>
  </si>
  <si>
    <t>Connection terminal for UBext, модель/артикул FX808437, кол-во 7</t>
  </si>
  <si>
    <t>FX808437</t>
  </si>
  <si>
    <t>Dummy cover f. 19» rack, 2 HU, модель/артикул 583705, кол-во 17</t>
  </si>
  <si>
    <t>CHARGE &amp; COMMUNICATION BASE, 100M BT, модель/артикул CCB22-100BT-03N, кол-во 1</t>
  </si>
  <si>
    <t>CCB22-100BT-03N</t>
  </si>
  <si>
    <t>Dummy cover for 19» rack, 5 HU, модель/артикул FX808440, кол-во 7</t>
  </si>
  <si>
    <t>FX808440</t>
  </si>
  <si>
    <t>FRE, TPH, WIDE GLAZE, ASM, PC42T, модель/артикул 50125125-001FRE, кол-во 5</t>
  </si>
  <si>
    <t>50125125-001FRE</t>
  </si>
  <si>
    <t>Capillary Conical Sample Point Kit, модель/артикул F-CC-25, кол-во 10</t>
  </si>
  <si>
    <t>F-CC-25</t>
  </si>
  <si>
    <t>10 W Cabinet loudspeaker, модель/артикул 581276, кол-во 4</t>
  </si>
  <si>
    <t>581276</t>
  </si>
  <si>
    <t>Output cable 2 amplifiers-DOM, модель/артикул 583477.21, кол-во 6</t>
  </si>
  <si>
    <t>SURF.MOUNT.BOX RTS151KEY, модель/артикул WM2348E, кол-во 48</t>
  </si>
  <si>
    <t>WM2348E</t>
  </si>
  <si>
    <t>Smoke detector tester, модель/артикул 805582, кол-во 3</t>
  </si>
  <si>
    <t>805582</t>
  </si>
  <si>
    <t>Модуль контроля, модель/артикул tc809e1043, кол-во 8</t>
  </si>
  <si>
    <t>TC809E1043</t>
  </si>
  <si>
    <t>Bus transponder IQ8FCT LP, модель/артикул 808621, кол-во 4</t>
  </si>
  <si>
    <t>IQ8MCP electronic module, модель/артикул 804906, кол-во 10</t>
  </si>
  <si>
    <t>804906</t>
  </si>
  <si>
    <t>Модуль изоляции короткого замыкания ISOLATOR MODULE 200 S.- ESMI, модель/артикул EM200XE, кол-во 7</t>
  </si>
  <si>
    <t>EM200XE</t>
  </si>
  <si>
    <t>5 x SHALLOW BASE - WHITE, модель/артикул CSW, кол-во 24</t>
  </si>
  <si>
    <t>CSW</t>
  </si>
  <si>
    <t>O²T/F multisensor detector, модель/артикул 802383, кол-во 6</t>
  </si>
  <si>
    <t>802383</t>
  </si>
  <si>
    <t>1952 PRESENTATION, CCB01-010BT BLK, 10M BT, модель/артикул CCB10-010BT-07N, кол-во 2</t>
  </si>
  <si>
    <t>CCB10-010BT-07N</t>
  </si>
  <si>
    <t>Power supply extension, модель/артикул FX808364, кол-во 1</t>
  </si>
  <si>
    <t>FX808364</t>
  </si>
  <si>
    <t>Power supply for FO converter, модель/артикул 583315.02, кол-во 3</t>
  </si>
  <si>
    <t>583315.02</t>
  </si>
  <si>
    <t>PSU 52Ah for MB-Secure, модель/артикул 13960, кол-во 1</t>
  </si>
  <si>
    <t>13960</t>
  </si>
  <si>
    <t>CAT5 patch cable, 1 m, blue, модель/артикул 583481A, кол-во 24</t>
  </si>
  <si>
    <t>583481A</t>
  </si>
  <si>
    <t>IQ8MCP compact, small, модель/артикул 804973, кол-во 6</t>
  </si>
  <si>
    <t>Cable for cabinet rear panel DOM4-24, модель/артикул 583452.21, кол-во 5</t>
  </si>
  <si>
    <t>583452.21</t>
  </si>
  <si>
    <t>Control cable 12 for UIM (G2), модель/артикул 583401.21, кол-во 5</t>
  </si>
  <si>
    <t>583401.21</t>
  </si>
  <si>
    <t>MODULE 240VRELAY DIN MOUNTED, модель/артикул TC810E1057, кол-во 4</t>
  </si>
  <si>
    <t>TC810E1057</t>
  </si>
  <si>
    <t>Output cable 2 amplifiers-DOM, модель/артикул 583477.21, кол-во 5</t>
  </si>
  <si>
    <t>6 RELAYS WITH OVERRIDE (LON), модель/артикул XFLR824A, кол-во 2</t>
  </si>
  <si>
    <t>XFLR824A</t>
  </si>
  <si>
    <t>Essernet module, 500 kBd, модель/артикул 784841.10, кол-во 1</t>
  </si>
  <si>
    <t>784841.10</t>
  </si>
  <si>
    <t>FAAST LT EARTH BAR, модель/артикул F-LT-EB, кол-во 9</t>
  </si>
  <si>
    <t>F-LT-EB</t>
  </si>
  <si>
    <t>Rate-of-rise heat detector, модель/артикул 802271, кол-во 6</t>
  </si>
  <si>
    <t>802271</t>
  </si>
  <si>
    <t>Cover for keypad of DCS, модель/артикул 583311, кол-во 6</t>
  </si>
  <si>
    <t>583311</t>
  </si>
  <si>
    <t>Cable set for connecting, модель/артикул 583413, кол-во 5</t>
  </si>
  <si>
    <t>583413</t>
  </si>
  <si>
    <t>ECO Heat RR detector, модель/артикул ECO1005M, кол-во 60</t>
  </si>
  <si>
    <t>ECO1005M</t>
  </si>
  <si>
    <t>MCP housing, small, orange, RAL 2011, модель/артикул 704953, кол-во 24</t>
  </si>
  <si>
    <t>704953</t>
  </si>
  <si>
    <t>HEATER KIT FOR REFLECTOR P, модель/артикул BEAMHKR, кол-во 3</t>
  </si>
  <si>
    <t>BEAMHKR</t>
  </si>
  <si>
    <t>Surface Outstation Type B, Stainless Ste, модель/артикул EVCS-HSFSS, кол-во 1</t>
  </si>
  <si>
    <t>EVCS-HSFSS</t>
  </si>
  <si>
    <t>78°C FIX TH ISO IVORY TENZOR, модель/артикул 52051HTEI-64-IV, кол-во 4</t>
  </si>
  <si>
    <t>Front foil w. universal text, модель/артикул 704911, кол-во 99</t>
  </si>
  <si>
    <t>704911</t>
  </si>
  <si>
    <t>FRE, LID SENSOR CABLE, SAV4, модель/артикул 211300-200FRE, кол-во 10</t>
  </si>
  <si>
    <t>211300-200FRE</t>
  </si>
  <si>
    <t>PROFI Base with resistor 1500, модель/артикул B401R(1500), кол-во 87</t>
  </si>
  <si>
    <t>B401R(1500)</t>
  </si>
  <si>
    <t>IQ8TAL with isolator, модель/артикул 804868, кол-во 6</t>
  </si>
  <si>
    <t>804868</t>
  </si>
  <si>
    <t>Battery 12 V DC/7 Ah capacity, модель/артикул 18004, кол-во 12</t>
  </si>
  <si>
    <t>18004</t>
  </si>
  <si>
    <t>Bus transponder IQ8FCT LP, модель/артикул 808621, кол-во 3</t>
  </si>
  <si>
    <t>INTELLIGENT SENSOR BASE IVORY, модель/артикул B501AP-IV, кол-во 46</t>
  </si>
  <si>
    <t>B501AP-IV</t>
  </si>
  <si>
    <t>VESDA-E SPL PT 4MM VEA PK22, модель/артикул VSP-981-W22, кол-во 1</t>
  </si>
  <si>
    <t>VSP-981-W22</t>
  </si>
  <si>
    <t>Spare glass pane for MCP, модель/артикул 704910, кол-во 20</t>
  </si>
  <si>
    <t>Fixed heat detector (class B), модель/артикул 802177, кол-во 6</t>
  </si>
  <si>
    <t>802177</t>
  </si>
  <si>
    <t>FG.VIEWGUARD DUAL AM BUS2/BUS1, модель/артикул 033442.21, кол-во 2</t>
  </si>
  <si>
    <t>033442.21</t>
  </si>
  <si>
    <t>Output cable 2 amplifiers-DOM, модель/артикул 583477.21, кол-во 4</t>
  </si>
  <si>
    <t>RAM MNT KIT, RND BASE, SHRT ARM, DOCK BALL, модель/артикул VM1001BRKTKIT, кол-во 3</t>
  </si>
  <si>
    <t>VM1001BRKTKIT</t>
  </si>
  <si>
    <t>PW-5000 TILE MOUNT REMOTE ENCLOSURE EU V, модель/артикул PW5K1ENC3E, кол-во 1</t>
  </si>
  <si>
    <t>Sm housing for small MCP, модель/артикул 704983, кол-во 57</t>
  </si>
  <si>
    <t>704983</t>
  </si>
  <si>
    <t>Backup cable RC 44, модель/артикул 583444, кол-во 3</t>
  </si>
  <si>
    <t>583444</t>
  </si>
  <si>
    <t>MCP addr. Honeywell, модель/артикул M5A-RP03FG-02, кол-во 4</t>
  </si>
  <si>
    <t>M5A-RP03FG-02</t>
  </si>
  <si>
    <t>Digital Key Module DKM Plus, модель/артикул 583526, кол-во 1</t>
  </si>
  <si>
    <t>583526</t>
  </si>
  <si>
    <t>ASD SPL PT CLIP STD 5.5mm(7/32 inch),5Pc, модель/артикул F-PC-5.5, кол-во 16</t>
  </si>
  <si>
    <t>F-PC-5.5</t>
  </si>
  <si>
    <t>ASD ADPTR CAPILLARY TEE RED PK10, модель/артикул PIP-016, кол-во 4</t>
  </si>
  <si>
    <t>PIP-016</t>
  </si>
  <si>
    <t>CT40 BOOTED 4 BAY CHARGE, EU POWER CORD, модель/артикул CT40-CB-UVB-2, кол-во 2</t>
  </si>
  <si>
    <t>CT40-CB-UVB-2</t>
  </si>
  <si>
    <t>6 W Cabinet loudspeaker EN, модель/артикул 582470, кол-во 6</t>
  </si>
  <si>
    <t>582470</t>
  </si>
  <si>
    <t>Извещатель дымовой адресно-аналоговый, модель/артикул 22051EI-64-IV, кол-во 8</t>
  </si>
  <si>
    <t>ECO multi detector, модель/артикул ECO1002M, кол-во 32</t>
  </si>
  <si>
    <t>ECO1002M</t>
  </si>
  <si>
    <t>SURFACE OUTSTATION TYPE B, модель/артикул EVCS-HSB, кол-во 2</t>
  </si>
  <si>
    <t>CAT5 patch cable, 1 m, модель/артикул 583486A, кол-во 16</t>
  </si>
  <si>
    <t>583486A</t>
  </si>
  <si>
    <t>Push-to-talk microphone, модель/артикул HN-PTT, кол-во 3</t>
  </si>
  <si>
    <t>HN-PTT</t>
  </si>
  <si>
    <t>CAT5 patch cable, 3 m, yellow, модель/артикул 583488A, кол-во 14</t>
  </si>
  <si>
    <t>583488A</t>
  </si>
  <si>
    <t>PTIR DET NO ISO IVORY SFERA SB, модель/артикул 22051TLE-63-IV, кол-во 5</t>
  </si>
  <si>
    <t>22051TLE-63-IV</t>
  </si>
  <si>
    <t>Fibre Optic Module SM honeywell, модель/артикул 583393.11, кол-во 2</t>
  </si>
  <si>
    <t>583393.11</t>
  </si>
  <si>
    <t>WINMAG plus Installation Media, модель/артикул WM1001, кол-во 1</t>
  </si>
  <si>
    <t>Notifier module 1 input, модель/артикул NFR-M-1DI, кол-во 7</t>
  </si>
  <si>
    <t>CT40 SCREEN PROTECTOR, 1PCS, модель/артикул CT40-SP-1PK, кол-во 20</t>
  </si>
  <si>
    <t>CT40-SP-1PK</t>
  </si>
  <si>
    <t>Patch cord LC/PCSC/PC, 62.5/125, модель/артикул FC-62-LC-SC-PC-2M, кол-во 20</t>
  </si>
  <si>
    <t>FC-62-LC-SC-PC-2M</t>
  </si>
  <si>
    <t>Dummy cover f. 19» rack, 4 HU, модель/артикул 583707, кол-во 5</t>
  </si>
  <si>
    <t>583707</t>
  </si>
  <si>
    <t>Output cable 2 amplifiers-DOM, модель/артикул 583477.21, кол-во 3</t>
  </si>
  <si>
    <t>ANTENNA, MAINWWAN, ETSI, WLAN/BT CN70 CK70, модель/артикул 805-669-001, кол-во 22</t>
  </si>
  <si>
    <t>805-669-001</t>
  </si>
  <si>
    <t>CABLE POWER SUPPLY CASCADING 2,5m, модель/артикул FX808455, кол-во 5</t>
  </si>
  <si>
    <t>FX808455</t>
  </si>
  <si>
    <t>4 Inch Vehicle Mount Charging Kit, модель/артикул 229044-000, кол-во 1</t>
  </si>
  <si>
    <t>229044-000</t>
  </si>
  <si>
    <t>Profile 18x38, модель/артикул 8612280-PAC, кол-во 6</t>
  </si>
  <si>
    <t>8612280-PAC</t>
  </si>
  <si>
    <t>DUCT ACC 10' W/HOLES, модель/артикул DST10, кол-во 6</t>
  </si>
  <si>
    <t>DST10</t>
  </si>
  <si>
    <t>IQ8 MCP compact Ex IP66/67, модель/артикул 804961.EX, кол-во 1</t>
  </si>
  <si>
    <t>804961.EX</t>
  </si>
  <si>
    <t>SURF.MOUNT.BOX RTS151KEY, модель/артикул WM2348E, кол-во 22</t>
  </si>
  <si>
    <t>Spare glass pane, модель/артикул 704960, кол-во 9</t>
  </si>
  <si>
    <t>6 W Ceiling loudspeaker EN, модель/артикул LSC-506, кол-во 7</t>
  </si>
  <si>
    <t>LSC-506</t>
  </si>
  <si>
    <t>DUCT ACC 12» W/HOLES, модель/артикул DST1, кол-во 20</t>
  </si>
  <si>
    <t>DST1</t>
  </si>
  <si>
    <t>Detector removal tool, модель/артикул 805580, кол-во 3</t>
  </si>
  <si>
    <t>805580</t>
  </si>
  <si>
    <t>Keyboard, модель/артикул KB216, кол-во 9</t>
  </si>
  <si>
    <t>KB216</t>
  </si>
  <si>
    <t>Backup cable RC44, 4 channel, 0,5m, модель/артикул 583444.10, кол-во 2</t>
  </si>
  <si>
    <t>583444.10</t>
  </si>
  <si>
    <t>HAND STRAP, CT50, PACK OF 3, модель/артикул 213-049-001, кол-во 7</t>
  </si>
  <si>
    <t>213-049-001</t>
  </si>
  <si>
    <t>BACNET MS/TP HVAC CONTROLLER, модель/артикул CPO-RL6, кол-во 1</t>
  </si>
  <si>
    <t>CPO-RL6</t>
  </si>
  <si>
    <t>FAULT ISOLATOR MODULE, модель/артикул TC811A1006, кол-во 2</t>
  </si>
  <si>
    <t>TC811A1006</t>
  </si>
  <si>
    <t>Зарядное устройство для ТСД Home Base with EU power cord, модель/артикул EDA61K-HB-2, кол-во 2</t>
  </si>
  <si>
    <t>EDA61K-HB-2</t>
  </si>
  <si>
    <t>ACCESS BEAM CONV/L HEATER FOR BEAM UNIT, модель/артикул BEAMHK, кол-во 3</t>
  </si>
  <si>
    <t>Smoke capsule f.multi-stimulus, модель/артикул 805552, кол-во 3</t>
  </si>
  <si>
    <t>805552</t>
  </si>
  <si>
    <t>ASPIRATING EQUIP Filter Cartridge x1, модель/артикул VSP-005, кол-во 2</t>
  </si>
  <si>
    <t>VSP-005</t>
  </si>
  <si>
    <t>FINGER STRAP ASSEMBLY, 20-PACK 8600, модель/артикул 8600501FNGRSTRAP, кол-во 4</t>
  </si>
  <si>
    <t>8600501FNGRSTRAP</t>
  </si>
  <si>
    <t>Packed EA30 2D Imager, Shield, New Con, модель/артикул 3-143010-09, кол-во 5</t>
  </si>
  <si>
    <t>3-143010-09</t>
  </si>
  <si>
    <t>Модуль управления Module power relay, DIN, ESMI, модель/артикул EM201E-240-DIN, кол-во 5</t>
  </si>
  <si>
    <t>EM201E-240-DIN</t>
  </si>
  <si>
    <t>Control cable 12 for UIM (G2), модель/артикул 583401.21, кол-во 2</t>
  </si>
  <si>
    <t>KIT ELIB D.ENH. LOOP MODULE PCB, модель/артикул 020-549-100, кол-во 1</t>
  </si>
  <si>
    <t>020-549-100</t>
  </si>
  <si>
    <t>WCP5A (S/SENSOR-NON ISOLATION), модель/артикул W5A-RP01SF-E010-02, кол-во 1</t>
  </si>
  <si>
    <t>W5A-RP01SF-E010-02</t>
  </si>
  <si>
    <t>INTEGRAL FILTER, модель/артикул FL-IF-2, кол-во 11</t>
  </si>
  <si>
    <t>FL-IF-2</t>
  </si>
  <si>
    <t>Output cable 2 amplifiers-DOM, модель/артикул 583477.21, кол-во 2</t>
  </si>
  <si>
    <t>Power supply for telephone, модель/артикул 586116, кол-во 1</t>
  </si>
  <si>
    <t>586116</t>
  </si>
  <si>
    <t>ASSY, FNL, SURFACE BX, IN/OUTDOOR, модель/артикул SB-I/O, кол-во 5</t>
  </si>
  <si>
    <t>SB-I/O</t>
  </si>
  <si>
    <t>Mounting bracket mx5000 esser, модель/артикул 783312, кол-во 4</t>
  </si>
  <si>
    <t>783312</t>
  </si>
  <si>
    <t>ASSY, CHASSIS, 5000 SERIES,RK, модель/артикул CHS-4N, кол-во 1</t>
  </si>
  <si>
    <t>CHS-4N</t>
  </si>
  <si>
    <t>8-pos Battery Chgr CK3/CK7x No Pwr Cord, модель/артикул DX4A2BBBB00, кол-во 1</t>
  </si>
  <si>
    <t>DX4A2BBBB00</t>
  </si>
  <si>
    <t>Dummy cover for 19» rack, 5 HU, модель/артикул FX808440, кол-во 2</t>
  </si>
  <si>
    <t>Извещатель OPT DET NO ISO IVORY HONEYWELL, модель/артикул TC806ES1012-IV, кол-во 2</t>
  </si>
  <si>
    <t>TC806ES1012-IV</t>
  </si>
  <si>
    <t>EN SOUNDER-RED-FF, модель/артикул CWSO-RR-S2, кол-во 8</t>
  </si>
  <si>
    <t>CWSO-RR-S2</t>
  </si>
  <si>
    <t>KIT STEPPER MOTOR M-42XX, модель/артикул DPR78-2765-01, кол-во 2</t>
  </si>
  <si>
    <t>DPR78-2765-01</t>
  </si>
  <si>
    <t>IQ8Alarm Plus voice sounder VAD, модель/артикул 807372RW, кол-во 1</t>
  </si>
  <si>
    <t>807372RW</t>
  </si>
  <si>
    <t>Fixed heat detector, модель/артикул 802171, кол-во 4</t>
  </si>
  <si>
    <t>USB programming cable, модель/артикул 789866, кол-во 1</t>
  </si>
  <si>
    <t>789866</t>
  </si>
  <si>
    <t>MCP housing, small, yellow,RAL 1021, модель/артикул 704952, кол-во 6</t>
  </si>
  <si>
    <t>704952</t>
  </si>
  <si>
    <t>Извещатель OPT DET NO ISOLATOR HONEYWELL, модель/артикул TC806ES1012, кол-во 2</t>
  </si>
  <si>
    <t>TC806ES1012</t>
  </si>
  <si>
    <t>Sm housing for small MCP, модель/артикул 704982, кол-во 17</t>
  </si>
  <si>
    <t>704982</t>
  </si>
  <si>
    <t>KEYPAD Galaxy MK8 RUSSIAN, модель/артикул CP050-22-01, кол-во 2</t>
  </si>
  <si>
    <t>CP050-22-01</t>
  </si>
  <si>
    <t>Esser bus transponder 32 LED, модель/артикул 808611.10, кол-во 1</t>
  </si>
  <si>
    <t>808611.10</t>
  </si>
  <si>
    <t>SR3T, модель/артикул MUS012W, кол-во 19</t>
  </si>
  <si>
    <t>MUS012W</t>
  </si>
  <si>
    <t>CN80 SH, DOCKABLE WITH CHARGING DOCK, модель/артикул CN80-SH-DC, кол-во 1</t>
  </si>
  <si>
    <t>CN80-SH-DC</t>
  </si>
  <si>
    <t>ETT/1, модель/артикул TB011, кол-во 12</t>
  </si>
  <si>
    <t>TB011</t>
  </si>
  <si>
    <t>Neutral front, модель/артикул FX808325, кол-во 5</t>
  </si>
  <si>
    <t>FX808325</t>
  </si>
  <si>
    <t>Corner Mount Adapter, Off-White, модель/артикул HB34S2-CM, кол-во 7</t>
  </si>
  <si>
    <t>HB34S2-CM</t>
  </si>
  <si>
    <t>Plastic spare key for small, модель/артикул 704966, кол-во 10</t>
  </si>
  <si>
    <t>704966</t>
  </si>
  <si>
    <t>Detector extractor ECO, модель/артикул XR1000, кол-во 6</t>
  </si>
  <si>
    <t>XR1000</t>
  </si>
  <si>
    <t>Analog Output Module, модель/артикул CC-PAON01, кол-во 1</t>
  </si>
  <si>
    <t>CC-PAON01</t>
  </si>
  <si>
    <t>ASD SPL PT CLIP STD 2.0mm(5/64 inch),5Pc, модель/артикул F-PC-2, кол-во 5</t>
  </si>
  <si>
    <t>20 W Sound projector, модель/артикул 581258, кол-во 3</t>
  </si>
  <si>
    <t>581258</t>
  </si>
  <si>
    <t>Ethernet Touch Call Station, модель/артикул 583527, кол-во 1</t>
  </si>
  <si>
    <t>583527</t>
  </si>
  <si>
    <t>ASPIRATING EQUIP END-OF-LINE VALVE, модель/артикул PIP-024, кол-во 2</t>
  </si>
  <si>
    <t>PIP-024</t>
  </si>
  <si>
    <t>Mounting rail set for, модель/артикул FX808434, кол-во 1</t>
  </si>
  <si>
    <t>FX808434</t>
  </si>
  <si>
    <t>3-way plug, модель/артикул FX808330, кол-во 4</t>
  </si>
  <si>
    <t>FX808330</t>
  </si>
  <si>
    <t>Bracket,Scan EX25 Assy CK71, модель/артикул 715-583S-001, кол-во 7</t>
  </si>
  <si>
    <t>715-583S-001</t>
  </si>
  <si>
    <t>Optical mouse, модель/артикул MS116, кол-во 9</t>
  </si>
  <si>
    <t>MS116</t>
  </si>
  <si>
    <t>MODULE SINGLE CONTROL HON, модель/артикул TC810N1013, кол-во 1</t>
  </si>
  <si>
    <t>TC810N1013</t>
  </si>
  <si>
    <t>Mortise Lock Frame, модель/артикул BZR/2, кол-во 5</t>
  </si>
  <si>
    <t>BZR/2</t>
  </si>
  <si>
    <t>MISC PK 10 BEZELS, модель/артикул PS186, кол-во 5</t>
  </si>
  <si>
    <t>PS186</t>
  </si>
  <si>
    <t>PROFI Base with resistor 1500, модель/артикул B401R(1500), кол-во 20</t>
  </si>
  <si>
    <t>PROFI Base with resistor 1500 system sensor, модель/артикул B401R(1500), кол-во 20</t>
  </si>
  <si>
    <t>MCP housing, large, orange, модель/артикул 704903, кол-во 6</t>
  </si>
  <si>
    <t>704903</t>
  </si>
  <si>
    <t>MCP housing, small, yellow,RAL 1021, модель/артикул 704952, кол-во 4</t>
  </si>
  <si>
    <t>Dummy cover f. 19» rack, 3 HU, модель/артикул 583706, кол-во 2</t>
  </si>
  <si>
    <t>583706</t>
  </si>
  <si>
    <t>Module housing for top-hat, модель/артикул 788603.10, кол-во 10</t>
  </si>
  <si>
    <t>788603.10</t>
  </si>
  <si>
    <t>IQ8Alarm Plus voice sounder, модель/артикул 807322R, кол-во 1</t>
  </si>
  <si>
    <t>807322R</t>
  </si>
  <si>
    <t>RS HNY-DIDO-DSUB-ADPT RU, модель/артикул 7820000404, кол-во 8</t>
  </si>
  <si>
    <t>7820000404</t>
  </si>
  <si>
    <t>Mini-DisplayPort laptop cable, модель/артикул 0B47091, кол-во 5</t>
  </si>
  <si>
    <t>0B47091</t>
  </si>
  <si>
    <t>Surface spacer for protective, модель/артикул 781698, кол-во 3</t>
  </si>
  <si>
    <t>781698</t>
  </si>
  <si>
    <t>DETECTOR BASE Mosfet Isolator Base Std, модель/артикул B524IEFT-1, кол-во 8</t>
  </si>
  <si>
    <t>B524IEFT-1</t>
  </si>
  <si>
    <t>Input cable DOM (G1)-XV, модель/артикул 583471.21, кол-во 1</t>
  </si>
  <si>
    <t>583471.21</t>
  </si>
  <si>
    <t>Защитное стекло для ТСД EDA51K display screen protector 10PCS, модель/артикул EDA51K-SP-10PK, кол-во 1</t>
  </si>
  <si>
    <t>EDA51K-SP-10PK</t>
  </si>
  <si>
    <t>DG BASE CONDUIT ADAPTOR WHITE, модель/артикул BA1AP, кол-во 4</t>
  </si>
  <si>
    <t>BA1AP</t>
  </si>
  <si>
    <t>Защитное стекло для ТСД EDA51 SCREEN PROTECTOR, 10PCS/PACK, модель/артикул EDA51-SP-10PK, кол-во 1</t>
  </si>
  <si>
    <t>EDA51-SP-10PK</t>
  </si>
  <si>
    <t>BEAM DET ANL-AP SIGMA, модель/артикул 6500-62, кол-во 1</t>
  </si>
  <si>
    <t>6500-62</t>
  </si>
  <si>
    <t>AV PHASE II BASE S/STROBE NONISO, модель/артикул BSS-DR-N64, кол-во 1</t>
  </si>
  <si>
    <t>BSS-DR-N64</t>
  </si>
  <si>
    <t>IQ8Alarm IP 56 base, red, модель/артикул 806202, кол-во 6</t>
  </si>
  <si>
    <t>806202</t>
  </si>
  <si>
    <t>Conv. MCP electronic module, модель/артикул 804951, кол-во 2</t>
  </si>
  <si>
    <t>804951</t>
  </si>
  <si>
    <t>Монтажный элемент SURFACE MOUNT MODULE BOX (200 SERIES) WI, модель/артикул M200E-SMB-KO, кол-во 7</t>
  </si>
  <si>
    <t>M200E-SMB-KO</t>
  </si>
  <si>
    <t>IQ8MCP electronic module, модель/артикул 804955, кол-во 1</t>
  </si>
  <si>
    <t>804955</t>
  </si>
  <si>
    <t>Protective kit for MCP and, модель/артикул 704965, кол-во 10</t>
  </si>
  <si>
    <t>704965</t>
  </si>
  <si>
    <t>Output cable amplifier-DOM, модель/артикул 583476.21, кол-во 1</t>
  </si>
  <si>
    <t>Switched-mode power supply w., модель/артикул BME2Z002, кол-во 1</t>
  </si>
  <si>
    <t>BME2Z002</t>
  </si>
  <si>
    <t>IP 55 kit for protective cover, модель/артикул 781699, кол-во 3</t>
  </si>
  <si>
    <t>781699</t>
  </si>
  <si>
    <t>База извещателя Standard detector base for, модель/артикул 805590, кол-во 6</t>
  </si>
  <si>
    <t>805590</t>
  </si>
  <si>
    <t>Surface spacer for protective, модель/артикул 781698, кол-во 2</t>
  </si>
  <si>
    <t>CAT5 patch cable, 2 m, модель/артикул 583482A, кол-во 2</t>
  </si>
  <si>
    <t>583482A</t>
  </si>
  <si>
    <t>Flush-mount XLR panel jack, модель/артикул 581320, кол-во 1</t>
  </si>
  <si>
    <t>581320</t>
  </si>
  <si>
    <t>Input cable DOM-amplifier, модель/артикул 583491, кол-во 4</t>
  </si>
  <si>
    <t>583491</t>
  </si>
  <si>
    <t>CAT5 patch cable, 3 m, модель/артикул 583483A, кол-во 2</t>
  </si>
  <si>
    <t>583483A</t>
  </si>
  <si>
    <t>MCP housing, large, yellow, модель/артикул 704902, кол-во 2</t>
  </si>
  <si>
    <t>704902</t>
  </si>
  <si>
    <t>Surface-mount box, модель/артикул 581329, кол-во 1</t>
  </si>
  <si>
    <t>581329</t>
  </si>
  <si>
    <t>Sm housing for small MCP, esser, модель/артикул 704981, кол-во 4</t>
  </si>
  <si>
    <t>704981</t>
  </si>
  <si>
    <t>FRE, ASSY, FLEX for MIPI N3601, ENG, CT40, модель/артикул 50141545-002FRE, кол-во 3</t>
  </si>
  <si>
    <t>50141545-002FRE</t>
  </si>
  <si>
    <t>MCP housing, large, red, модель/артикул 704900, кол-во 2</t>
  </si>
  <si>
    <t>704900</t>
  </si>
  <si>
    <t>Housing surface-mount, white, модель/артикул 788650.10, кол-во 2</t>
  </si>
  <si>
    <t>788650.10</t>
  </si>
  <si>
    <t>RS HNY-DIDO-DSUB-ADPT RU, модель/артикул 7820000404, кол-во 2</t>
  </si>
  <si>
    <t>CABLE FROM XI582 TO XL800(RJ45), модель/артикул XW882, кол-во 1</t>
  </si>
  <si>
    <t>XW882</t>
  </si>
  <si>
    <t>CAT5 patch cable, 1 m, blue, модель/артикул 583481A, кол-во 1</t>
  </si>
  <si>
    <t>MODULE PANEL MOUNT BRACKET, модель/артикул M200E-PMB, кол-во 10</t>
  </si>
  <si>
    <t>M200E-PMB</t>
  </si>
  <si>
    <t>Sm housing for small MCP, модель/артикул 704980, кол-во 1</t>
  </si>
  <si>
    <t>Housing surface-mount, gray, модель/артикул 788600, кол-во 2</t>
  </si>
  <si>
    <t>788600</t>
  </si>
  <si>
    <t>MCP housing, small, red, similar to RAL 3, модель/артикул 704950, кол-во 1</t>
  </si>
  <si>
    <t>704950</t>
  </si>
  <si>
    <t>CABLE, USB TYPE A, STRAIGHT, 3M, INDUST., модель/артикул CBL-500-300-S00-01, кол-во 1</t>
  </si>
  <si>
    <t>CBL-500-300-S00-01</t>
  </si>
  <si>
    <t>CAT5 patch cable, 2 m, модель/артикул 583487A, кол-во 1</t>
  </si>
  <si>
    <t>583487A</t>
  </si>
  <si>
    <t>IQ8Alarm IP 56 base, red, модель/артикул 806202, кол-во 1</t>
  </si>
  <si>
    <t>Sm housing for small MCP, модель/артикул 704985, кол-во 1</t>
  </si>
  <si>
    <t>704985</t>
  </si>
  <si>
    <t>Housing surface-mount, gray, модель/артикул 788600, кол-во 1</t>
  </si>
  <si>
    <t>Sm housing for small MCP, модель/артикул 704982, кол-во 1</t>
  </si>
  <si>
    <t>ACC,Cable(M12 To RJ45,2M,Eth),HF800, модель/артикул 50143315-001, кол-во 1</t>
  </si>
  <si>
    <t>50143315-001</t>
  </si>
  <si>
    <t>IQ8Alarm IP 56 base, white, модель/артикул 806201, кол-во 1</t>
  </si>
  <si>
    <t>806201</t>
  </si>
  <si>
    <t>Sm housing for small MCP, модель/артикул 704981, кол-во 1</t>
  </si>
  <si>
    <t>Sm housing for small MCP, модель/артикул 704983, кол-во 1</t>
  </si>
  <si>
    <t>Sm housing for small MCP, модель/артикул 704984, кол-во 1</t>
  </si>
  <si>
    <t>704984</t>
  </si>
  <si>
    <t>MIFARE READER «ACCENTIC» WITHOUT KEYPAD, модель/артикул 026422, кол-во 3</t>
  </si>
  <si>
    <t>026422</t>
  </si>
  <si>
    <t>2251 ctle-73-iv, модель/артикул 2251 ctle-73-iv, кол-во 5</t>
  </si>
  <si>
    <t>2251</t>
  </si>
  <si>
    <t>Программное обеспечение, кол-во 1</t>
  </si>
  <si>
    <t>ProReact EN Analogue Linear Heat Detection, модель/артикул en 54-22:2015+a1:2020, кол-во 1</t>
  </si>
  <si>
    <t>EN</t>
  </si>
  <si>
    <t>MB-Secure Option WAGO-I/O, модель/артикул 059829, кол-во 1</t>
  </si>
  <si>
    <t>059829</t>
  </si>
  <si>
    <t>PCB KIT RS232 ID2K/2K8/3K, модель/артикул {ISO-RS232}, модель/артикул 020-478, кол-во 1</t>
  </si>
  <si>
    <t>ISO-RS232</t>
  </si>
  <si>
    <t>PCB KIT RS485 ID2K/2K8/3K, модель/артикул {ISO-RS485}, модель/артикул 020-479, кол-во 1</t>
  </si>
  <si>
    <t>ISO-RS485</t>
  </si>
  <si>
    <t>KIT 2/3K COVER MOULDED BLK/GY, модель/артикул {MCK-B}, модель/артикул 020-480-009, кол-во 1</t>
  </si>
  <si>
    <t>MCK-B</t>
  </si>
  <si>
    <t>Система освещения светотехника, кол-во 1</t>
  </si>
  <si>
    <t>Наименование</t>
  </si>
  <si>
    <t>Партномер</t>
  </si>
  <si>
    <t>Количество</t>
  </si>
  <si>
    <t>Состояние</t>
  </si>
  <si>
    <t>Цена за шт</t>
  </si>
  <si>
    <t>Цена итого</t>
  </si>
  <si>
    <t>Marshalling cabinet, модель/артикул MC06, кол-во 1</t>
  </si>
  <si>
    <t>MC06</t>
  </si>
  <si>
    <t>Шкаф распределения питания в сборе, модель/артикул PDP04, кол-во 1</t>
  </si>
  <si>
    <t>PDP04</t>
  </si>
  <si>
    <t>Шкаф контрольный в сборе C300 Cabinet, модель/артикул CABC300-08, кол-во 1</t>
  </si>
  <si>
    <t>CABC300-08</t>
  </si>
  <si>
    <t>Marshalling cabinet, модель/артикул MC01 ; MCP-612-001, кол-во 1</t>
  </si>
  <si>
    <t>MC01</t>
  </si>
  <si>
    <t>Marshalling cabinet 09, модель/артикул MC09 ; MCF-612-004, кол-во 1</t>
  </si>
  <si>
    <t>MC09</t>
  </si>
  <si>
    <t>Maxpro NVR PE 128 Ch, 12x12TB, RAID6, модель/артикул HNMPE128C144T12R6, кол-во 1</t>
  </si>
  <si>
    <t>HNMPE128C144T12R6</t>
  </si>
  <si>
    <t>Панель удаленных модулей C300 Panel, модель/артикул PANC300-03, кол-во 1</t>
  </si>
  <si>
    <t>PANC300-03</t>
  </si>
  <si>
    <t>Панель удаленных модулей C300 Panel, модель/артикул PANC300-04, кол-во 1</t>
  </si>
  <si>
    <t>PANC300-04</t>
  </si>
  <si>
    <t>MCXL - O2/LEL - Yellow - RU, модель/артикул MCXL-XW00-Y-RU, кол-во 60</t>
  </si>
  <si>
    <t>MCXL-XW00-Y-RU</t>
  </si>
  <si>
    <t>Loading System MkII Base without column, модель/артикул C8800, кол-во 3</t>
  </si>
  <si>
    <t>C8800</t>
  </si>
  <si>
    <t>RF BUS-2-COUPLER, MB-WIRELESS, модель/артикул 015600.01, кол-во 34</t>
  </si>
  <si>
    <t>015600.01</t>
  </si>
  <si>
    <t>BATTERY PACK LI POL RECHARGE. FOR M5IR, модель/артикул 127120-L3, кол-во 40</t>
  </si>
  <si>
    <t>127120-L3</t>
  </si>
  <si>
    <t>Loading System MkII Base without column, модель/артикул C8800, кол-во 2</t>
  </si>
  <si>
    <t>S/SENSOR PROTOCOL-NON ISO-GL1140-F 222, модель/артикул M5A-RP01FG-K013-01, кол-во 75</t>
  </si>
  <si>
    <t>M5A-RP01FG-K013-01</t>
  </si>
  <si>
    <t>OPTI-FIT Rd40 TAILLE M, модель/артикул 1715011, кол-во 90</t>
  </si>
  <si>
    <t>1715011</t>
  </si>
  <si>
    <t>VM3W8x128, IN, N, IN, ET, W102016NO, UB, A, модель/артикул VM3W2O1A1AET1HA1, кол-во 4</t>
  </si>
  <si>
    <t>VM3W2O1A1AET1HA1</t>
  </si>
  <si>
    <t>RT10W, WLAN, IN, 6803, CAM, EXT, WT19, WM, модель/артикул RT10W-L00-18C12E0E, кол-во 2</t>
  </si>
  <si>
    <t>RT10W-L00-18C12E0E</t>
  </si>
  <si>
    <t>5 VALVE DIRECT MOUNT MANIFOLD, модель/артикул HDS5M, кол-во 64</t>
  </si>
  <si>
    <t>HDS5M</t>
  </si>
  <si>
    <t>Display endepereiting unit, модель/артикул FX808324, кол-во 5</t>
  </si>
  <si>
    <t>FX808324</t>
  </si>
  <si>
    <t>ТСД EDA61K, NUM, WAN, 3, 32, EX20, NC, GMS, LD, ROW, модель/артикул EDA61K-1NUB34PGRK, кол-во 7</t>
  </si>
  <si>
    <t>EDA61K-1NUB34PGRK</t>
  </si>
  <si>
    <t>Leo Smoke-Heat Detector, модель/артикул LEONARDO-OT, кол-во 420</t>
  </si>
  <si>
    <t>Conventional zone modyle, модель/артикул m210e-czr, кол-во 100</t>
  </si>
  <si>
    <t>M210E-CZR</t>
  </si>
  <si>
    <t>BATTERY KIT MAIN, модель/артикул 51199946-100, кол-во 2</t>
  </si>
  <si>
    <t>51199946-100</t>
  </si>
  <si>
    <t>4MP Dome, 2.7-13.5mm, MFZ, H.265, PoE, IP66, модель/артикул H4W4PER2V, кол-во 18</t>
  </si>
  <si>
    <t>H4W4PER2V</t>
  </si>
  <si>
    <t>Server Cabinet, модель/артикул CABSRV-01, кол-во 1</t>
  </si>
  <si>
    <t>CABSRV-01</t>
  </si>
  <si>
    <t>Amplifier 4XD300, Version 1.1, модель/артикул 580248.11, кол-во 1</t>
  </si>
  <si>
    <t>580248.11</t>
  </si>
  <si>
    <t>MCP housing, large, yellow, модель/артикул 704902, кол-во 171</t>
  </si>
  <si>
    <t>Rechargeable Li-ion battery, модель/артикул M01-3053-000, кол-во 6</t>
  </si>
  <si>
    <t>M01-3053-000</t>
  </si>
  <si>
    <t>TS2 CONTROLLER, модель/артикул TS2, кол-во 7</t>
  </si>
  <si>
    <t>TS2</t>
  </si>
  <si>
    <t>Communication cabinet, модель/артикул COMCAB02, кол-во 1</t>
  </si>
  <si>
    <t>COMCAB02</t>
  </si>
  <si>
    <t>ASSY, FNL, XLS3000, NO DSPLAY, HON, модель/артикул XLS3000-CPUND, кол-во 1</t>
  </si>
  <si>
    <t>XLS3000-CPUND</t>
  </si>
  <si>
    <t>ECO multi detector, модель/артикул ECO1002M, кол-во 200</t>
  </si>
  <si>
    <t>5 x CAV - DEEP BASE GASKET, модель/артикул PS189, кол-во 154</t>
  </si>
  <si>
    <t>PS189</t>
  </si>
  <si>
    <t>REMOTE TEST STATION WITH KEY, модель/артикул RTS151KEY, кол-во 38</t>
  </si>
  <si>
    <t>RTS151KEY</t>
  </si>
  <si>
    <t>Программатор адреса leonardo, модель/артикул d300-10-00, кол-во 14</t>
  </si>
  <si>
    <t>D300-10-00</t>
  </si>
  <si>
    <t>Aspiration detector 2 ch., модель/артикул FL0122E-HS-RU, кол-во 1</t>
  </si>
  <si>
    <t>FL0122E-HS-RU</t>
  </si>
  <si>
    <t>Leonardo base, модель/артикул B401L, кол-во 850</t>
  </si>
  <si>
    <t>B401L</t>
  </si>
  <si>
    <t>5 x CAV - DEEP BASE O-RING, модель/артикул PS188, кол-во 156</t>
  </si>
  <si>
    <t>PS188</t>
  </si>
  <si>
    <t>PROFI Heat 78 Detector, модель/артикул PROFI-T78, кол-во 249</t>
  </si>
  <si>
    <t>PROFI-T78</t>
  </si>
  <si>
    <t>HONEYWELL NX3MPS NETAXS-123 3DR ACU MET, модель/артикул NX3MPS, кол-во 1</t>
  </si>
  <si>
    <t>NX3MPS</t>
  </si>
  <si>
    <t>Leo Smoke-Heat Detector, модель/артикул LEONARDO-OT, кол-во 99</t>
  </si>
  <si>
    <t>Display end opereiting unit, модель/артикул fx808324, кол-во 1</t>
  </si>
  <si>
    <t>Flush-mount kit for, модель/артикул 805571, кол-во 41</t>
  </si>
  <si>
    <t>805571</t>
  </si>
  <si>
    <t>20 x P014 - CABLE GLAND PACK, модель/артикул SC081, кол-во 17</t>
  </si>
  <si>
    <t>SC081</t>
  </si>
  <si>
    <t>HONEYWELL NX1MPS NETAXS-123 1DR ACU MET, модель/артикул NX1MPS, кол-во 1</t>
  </si>
  <si>
    <t>NX1MPS</t>
  </si>
  <si>
    <t>Leonardo base, модель/артикул B401L, кол-во 400</t>
  </si>
  <si>
    <t>VESDA-E SPL PT 6MM VEA PK22, модель/артикул VSP-980-W22, кол-во 2</t>
  </si>
  <si>
    <t>VSP-980-W22</t>
  </si>
  <si>
    <t>ASSY, SUB, BACKBOX, NOTIFIER BLK, модель/артикул NFS-LBB, кол-во 1</t>
  </si>
  <si>
    <t>NFS-LBB</t>
  </si>
  <si>
    <t>TERMINAL BLOCK PACK x 20, модель/артикул SC071, кол-во 8</t>
  </si>
  <si>
    <t>SC071</t>
  </si>
  <si>
    <t>Spare glass pane f. small MCP, модель/артикул 704960, кол-во 20</t>
  </si>
  <si>
    <t>Cable tie - WT-HF 2.6X200, модель/артикул 3240740, кол-во 8900</t>
  </si>
  <si>
    <t>3240740</t>
  </si>
  <si>
    <t>PROFI Base with resistor 1000, модель/артикул B401R(1000), кол-во 127</t>
  </si>
  <si>
    <t>B401R(1000)</t>
  </si>
  <si>
    <t>TP-OSCDB1, кол-во 2</t>
  </si>
  <si>
    <t>5 x SHALLOW BASE - WHITE, модель/артикул CSW, кол-во 20</t>
  </si>
  <si>
    <t>Label- Sampling Point, модель/артикул F-LP, кол-во 8</t>
  </si>
  <si>
    <t>F-LP</t>
  </si>
  <si>
    <t>VESDA-E SPL PT 6MM SURF MT VEA PK22, модель/артикул VSP-982-W22, кол-во 1</t>
  </si>
  <si>
    <t>VSP-982-W22</t>
  </si>
  <si>
    <t>HIGH DENSITY ENCLOSURE EU Version, модель/артикул PW5K2ENC1E, кол-во 1</t>
  </si>
  <si>
    <t>PW5K2ENC1E</t>
  </si>
  <si>
    <t>Banderole for Suction- Reducing Foil, модель/артикул F-BS, кол-во 10</t>
  </si>
  <si>
    <t>F-BS</t>
  </si>
  <si>
    <t>6 W Cabinet loudspeaker, модель/артикул 581270, кол-во 11</t>
  </si>
  <si>
    <t>581270</t>
  </si>
  <si>
    <t>6 W Cabinet loudspeaker EN, модель/артикул 582426, кол-во 6</t>
  </si>
  <si>
    <t>Aspiration Reducing Film Sheet 3.0mm, модель/артикул F-AF-3.0, кол-во 10</t>
  </si>
  <si>
    <t>F-AF-3.0</t>
  </si>
  <si>
    <t>Battery extension housing for, модель/артикул FX808314, кол-во 1</t>
  </si>
  <si>
    <t>FX808314</t>
  </si>
  <si>
    <t>Монитор, модель/артикул P2213t, кол-во 3</t>
  </si>
  <si>
    <t>P2213T</t>
  </si>
  <si>
    <t>Б/у</t>
  </si>
  <si>
    <t>AV PHASE II BASE SOUNDER ISO, модель/артикул BSO-DD-I00, кол-во 4</t>
  </si>
  <si>
    <t>BSO-DD-I00</t>
  </si>
  <si>
    <t>Rechargeable Li-ion battery, модель/артикул G02-3004-000, кол-во 1</t>
  </si>
  <si>
    <t>G02-3004-000</t>
  </si>
  <si>
    <t>Монитор, модель/артикул u2410f, кол-во 6</t>
  </si>
  <si>
    <t>U2410F</t>
  </si>
  <si>
    <t>Б/У</t>
  </si>
  <si>
    <t>TPU 506 Black Armchair, модель/артикул 273572, кол-во 2</t>
  </si>
  <si>
    <t>273572</t>
  </si>
  <si>
    <t>Table 120x60x76, модель/артикул 877451, кол-во 1</t>
  </si>
  <si>
    <t>877451</t>
  </si>
  <si>
    <t>10 x P056 (10 PACKS OF 5), модель/артикул SC083, кол-во 5</t>
  </si>
  <si>
    <t>SC083</t>
  </si>
  <si>
    <t>Монитор, модель/артикул u2412m, кол-во 1</t>
  </si>
  <si>
    <t>U2412M</t>
  </si>
  <si>
    <t>Housing surface-mount, gray, модель/артикул 788600, кол-во 12</t>
  </si>
  <si>
    <t>5 x IP65 DEEP BASE-WHITE, модель/артикул CWW, кол-во 2</t>
  </si>
  <si>
    <t>CWW</t>
  </si>
  <si>
    <t>SURFACE MOUNTING BOX MODULES 700/200, модель/артикул M200SMB, кол-во 2</t>
  </si>
  <si>
    <t>M200SMB</t>
  </si>
  <si>
    <t>Блок для троса, модель/артикул 26561, кол-во 1</t>
  </si>
  <si>
    <t>26561</t>
  </si>
  <si>
    <t>утилизация</t>
  </si>
  <si>
    <t>Орион TP-OCSDB1 RUX-003597, модель/артикул TP-OCSDB1 RUX-003597, кол-во 1</t>
  </si>
  <si>
    <t>TP-OCSDB1</t>
  </si>
  <si>
    <t>Орион MP-OCBAS1 RUX-003597, кол-во 1</t>
  </si>
  <si>
    <t>Marshalling cabinet 08, модель/артикул MCF-612-003; mc08, кол-во 1</t>
  </si>
  <si>
    <t>MCF-612-003</t>
  </si>
  <si>
    <t>Бур, кол-во 2</t>
  </si>
  <si>
    <t>Трос металлический, кол-во 2</t>
  </si>
  <si>
    <t>Перемычка для троса, кол-во 2</t>
  </si>
  <si>
    <t>Транспондер пожарный esserbus transponder IQ8FCT XS, модель/артикул 808606, кол-во 1220</t>
  </si>
  <si>
    <t>808606</t>
  </si>
  <si>
    <t>Esserbus transponder IQ8FCT XS, модель/артикул 808606, кол-во 1210</t>
  </si>
  <si>
    <t>Извещатель Optical smoke detector, модель/артикул 802371, кол-во 1199</t>
  </si>
  <si>
    <t>802371</t>
  </si>
  <si>
    <t>Извещатель Optical smoke detector, модель/артикул 802371, кол-во 1027</t>
  </si>
  <si>
    <t>Esserbus transponder IQ8FCT XS, модель/артикул 808606, кол-во 762</t>
  </si>
  <si>
    <t>Комбинированный извещатель O²T multisensor detector, модель/артикул 802374, кол-во 727</t>
  </si>
  <si>
    <t>802374</t>
  </si>
  <si>
    <t>Spare glass pane f. small MCP, модель/артикул 704960, кол-во 1440</t>
  </si>
  <si>
    <t>PROFI-O Smoke detector, модель/артикул PROFI-O, кол-во 1203</t>
  </si>
  <si>
    <t>PROFI-O</t>
  </si>
  <si>
    <t>Индикатор выносной REMOTE INDICATOR, модель/артикул RA100Z, кол-во 800</t>
  </si>
  <si>
    <t>RA100Z</t>
  </si>
  <si>
    <t>PROFI-O Smoke detector, модель/артикул PROFI-O, кол-во 1163</t>
  </si>
  <si>
    <t>Heavy weight drawer with, модель/артикул FX808430.18R, кол-во 13</t>
  </si>
  <si>
    <t>Digital Call Station DCS Plus e54-16, модель/артикул 583520, кол-во 19</t>
  </si>
  <si>
    <t>Amplifier 4XD500, Version 1.1, модель/артикул 580249.11, кол-во 6</t>
  </si>
  <si>
    <t>580249.11</t>
  </si>
  <si>
    <t>База извещателя Standard detector base for, модель/артикул 805590, кол-во 2227</t>
  </si>
  <si>
    <t>Esserbus transponder 12 relays, модель/артикул 808610.10, кол-во 74</t>
  </si>
  <si>
    <t>CN80 HOME BASE, модель/артикул CN80-HB-CNV-0, кол-во 55</t>
  </si>
  <si>
    <t>CN80-HB-CNV-0</t>
  </si>
  <si>
    <t>iq8fct lp, модель/артикул 808621, кол-во 101</t>
  </si>
  <si>
    <t>Loop card esserbus/esserbus-PL, модель/артикул FX808332, кол-во 55</t>
  </si>
  <si>
    <t>MP COMPACT 4 MOBILE 203 DPI, DC, модель/артикул XJ1-00-07000000, кол-во 5</t>
  </si>
  <si>
    <t>XJ1-00-07000000</t>
  </si>
  <si>
    <t>KIT, PLATEN ROLLER-KA10, модель/артикул ROL15-2761-04, кол-во 218</t>
  </si>
  <si>
    <t>ROL15-2761-04</t>
  </si>
  <si>
    <t>Display and operating unit w., модель/артикул FX808324, кол-во 11</t>
  </si>
  <si>
    <t>4MP WDR IP Outdoor Dome IR,2.7~13.5mm MF, модель/артикул H4W4GR1Y, кол-во 15</t>
  </si>
  <si>
    <t>H4W4GR1Y</t>
  </si>
  <si>
    <t>Heavy weight drawer f. power, модель/артикул FX808431, кол-во 11</t>
  </si>
  <si>
    <t>FX808431</t>
  </si>
  <si>
    <t>Зарядное устройство для ТСД Home Base with EU power cord, модель/артикул EDA61K-HB-2, кол-во 100</t>
  </si>
  <si>
    <t>Loop LED remote ind. panel, модель/артикул 804791, кол-во 28</t>
  </si>
  <si>
    <t>PW-5000 TILE MOUNT REMOTE ENCLOSURE EU V, модель/артикул PW5K1ENC3E, кол-во 28</t>
  </si>
  <si>
    <t>EARMUFF-LEIGHTNING L3H EU, модель/артикул 1012541, кол-во 200</t>
  </si>
  <si>
    <t>1012541</t>
  </si>
  <si>
    <t>Heavy weight drawer f. power, модель/артикул FX808431, кол-во 9</t>
  </si>
  <si>
    <t>База извещателя Standard detector base for, модель/артикул 805590, кол-во 1000</t>
  </si>
  <si>
    <t>SURFACE OUTSTATION TYPE B, модель/артикул EVCS-HSB, кол-во 54</t>
  </si>
  <si>
    <t>SBEACON-RED-RED LENS-FF, модель/артикул CWSS-RB-S8, кол-во 192</t>
  </si>
  <si>
    <t>Amplifier 4XD500, Version 1.1, модель/артикул 580249.11, кол-во 2</t>
  </si>
  <si>
    <t>Power supply-QUINT4-PS/1AC/24DC/20/+, модель/артикул 2904617, кол-во 16</t>
  </si>
  <si>
    <t>EARMUFF-LEIGHTNING L1H, модель/артикул 1012539, кол-во 405</t>
  </si>
  <si>
    <t>1012539</t>
  </si>
  <si>
    <t>FACP FlexES Control FX18/18, модель/артикул FX808397, кол-во 1</t>
  </si>
  <si>
    <t>FX808397</t>
  </si>
  <si>
    <t>PW-5000 TILE MOUNT REMOTE ENCLOSURE EU V, модель/артикул PW5K1ENC3E, кол-во 18</t>
  </si>
  <si>
    <t>EARMUFF-LEIGHTNING L1H, модель/артикул 1012539, кол-во 360</t>
  </si>
  <si>
    <t>IP RUG DOM 4MP H.265 TDN 2.7-13.5MM IP66, модель/артикул H4W4PER2, кол-во 30</t>
  </si>
  <si>
    <t>H4W4PER2</t>
  </si>
  <si>
    <t>MULTIDOCK, CHARGE ONLY CK3, AD22, модель/артикул 871-229-201, кол-во 19</t>
  </si>
  <si>
    <t>871-229-201</t>
  </si>
  <si>
    <t>Power supply extension, модель/артикул FX808363, кол-во 15</t>
  </si>
  <si>
    <t>FX808363</t>
  </si>
  <si>
    <t>Leo Smoke-Heat Detector, модель/артикул LEONARDO-OT, кол-во 500</t>
  </si>
  <si>
    <t>База извещателя Standard detector base for, модель/артикул 805590, кол-во 650</t>
  </si>
  <si>
    <t>ASD SOCKET UNION 25MM PK10, модель/артикул PIP-003, кол-во 170</t>
  </si>
  <si>
    <t>PIP-003</t>
  </si>
  <si>
    <t>Mounting adapter 10x for (10 pcs), модель/артикул 805577, кол-во 199</t>
  </si>
  <si>
    <t>Камера видеонаблюдения, модель/артикул h4l6gr2, кол-во 6</t>
  </si>
  <si>
    <t>H4L6GR2</t>
  </si>
  <si>
    <t>ACCESS BEAM CONV/L REFLECTOR 75M-100M, модель/артикул 6500-LRK, кол-во 41</t>
  </si>
  <si>
    <t>6500-LRK</t>
  </si>
  <si>
    <t>Network card essernet module, модель/артикул FX808341, кол-во 9</t>
  </si>
  <si>
    <t>Наушники противошумные EARMUFF-LEIGHTNG L1H HV Hi-Vis, модель/артикул 1015021, кол-во 332</t>
  </si>
  <si>
    <t>1015021</t>
  </si>
  <si>
    <t>Извещатель Optical smoke detector, модель/артикул 802371, кол-во 61</t>
  </si>
  <si>
    <t>Amplifier 4XD500, Version 1.1, модель/артикул 580249.11, кол-во 1</t>
  </si>
  <si>
    <t>304L CORDED EARPLUG 1CS=500PAIRS, модель/артикул 1000106, кол-во 28</t>
  </si>
  <si>
    <t>1000106</t>
  </si>
  <si>
    <t>Bus transponder IQ8FCT LP, модель/артикул 808621, кол-во 28</t>
  </si>
  <si>
    <t>SPERIAN Titan 2-Point Harness W/Belt, модель/артикул 1011894-RU, кол-во 127</t>
  </si>
  <si>
    <t>1011894-RU</t>
  </si>
  <si>
    <t>EARMUFF-LEIGHTNG L1H HV Hi-Vis, модель/артикул 1015021, кол-во 268</t>
  </si>
  <si>
    <t>SPERIAN TITAN 1Point Harness W/Belt, модель/артикул 1011893-RU, кол-во 135</t>
  </si>
  <si>
    <t>1011893-RU</t>
  </si>
  <si>
    <t>RECESS MOUNT KIT FOR DETECTORS - IVORY, модель/артикул RMK400AP-IV, кол-во 942</t>
  </si>
  <si>
    <t>RMK400AP-IV</t>
  </si>
  <si>
    <t>Display and operating unit w., модель/артикул FX808324, кол-во 3</t>
  </si>
  <si>
    <t>Пистолетная рукоять для ТСД KIT, SH, EDA61K, модель/артикул EDA61K-SH-DC, кол-во 25</t>
  </si>
  <si>
    <t>EDA61K-SH-DC</t>
  </si>
  <si>
    <t>Power supply extension, модель/артикул FX808364, кол-во 5</t>
  </si>
  <si>
    <t>INWL01c, MODULE, WLAN, 802.11 B,G,N,BT, модель/артикул 203-183-420, кол-во 200</t>
  </si>
  <si>
    <t>203-183-420</t>
  </si>
  <si>
    <t>IQ8MCP electronic module, 85319000, модель/артикул 804905, кол-во 30</t>
  </si>
  <si>
    <t>5 x IP65 DEEP BASE-RED, модель/артикул CWR, кол-во 78</t>
  </si>
  <si>
    <t>CWR</t>
  </si>
  <si>
    <t>Label plate detector base (PAC of 10), модель/артикул 805576, кол-во 76</t>
  </si>
  <si>
    <t>805576</t>
  </si>
  <si>
    <t>Power supply extension, модель/артикул FX808363, кол-во 4</t>
  </si>
  <si>
    <t>База извещателя Standard detector base for, модель/артикул 805590, кол-во 179</t>
  </si>
  <si>
    <t>База извещателя Standard detector base for, модель/артикул 805590, кол-во 176</t>
  </si>
  <si>
    <t>STRAALH.COMMMK2, BISON., STAND., модель/артикул A133230-00, кол-во 6</t>
  </si>
  <si>
    <t>A133230-00</t>
  </si>
  <si>
    <t>6 W Cabinet loudspeaker, модель/артикул 581270, кол-во 57</t>
  </si>
  <si>
    <t>LED panel 65UL3J-E, модель/артикул 65UL3J, кол-во 1</t>
  </si>
  <si>
    <t>65UL3J</t>
  </si>
  <si>
    <t>BS 420G2. AUTRONICA FIRE AND SECURITY AS., модель/артикул bs-420g2, кол-во 1</t>
  </si>
  <si>
    <t>BS-420G2</t>
  </si>
  <si>
    <t>FlexES additional housing, модель/артикул FX808338, кол-во 10</t>
  </si>
  <si>
    <t>FX808338</t>
  </si>
  <si>
    <t>6 W Ceiling loudspeaker, модель/артикул 581263, кол-во 85</t>
  </si>
  <si>
    <t>581263</t>
  </si>
  <si>
    <t>MCP-PRO-M Conventional, модель/артикул MCP-PRO-M, кол-во 150</t>
  </si>
  <si>
    <t>MCP-PRO-M</t>
  </si>
  <si>
    <t>Cable duct, модель/артикул 3240348, кол-во 22</t>
  </si>
  <si>
    <t>3240348</t>
  </si>
  <si>
    <t>Монтажный корпус ANALOGUE I/FACE DET S/S I/FACE MON BOX, модель/артикул SMB500, кол-во 373</t>
  </si>
  <si>
    <t>SMB500</t>
  </si>
  <si>
    <t>Cable duct, модель/артикул 3240357, кол-во 15</t>
  </si>
  <si>
    <t>3240357</t>
  </si>
  <si>
    <t>6 W Ceiling loudspeaker, модель/артикул 581263, кол-во 50</t>
  </si>
  <si>
    <t>6 W Cabinet loudspeaker, модель/артикул 581270, кол-во 29</t>
  </si>
  <si>
    <t>Оптический кабель Cable, модель/артикул CABLE-0.22-8T, кол-во 1600</t>
  </si>
  <si>
    <t>CABLE-0.22-8T</t>
  </si>
  <si>
    <t>Монитор, модель/артикул p2213t, кол-во 7</t>
  </si>
  <si>
    <t>DIGITAL MULTI-AUDIO PLAYER, BLUETOOTH, модель/артикул X-MAP4P, кол-во 1</t>
  </si>
  <si>
    <t>X-MAP4P</t>
  </si>
  <si>
    <t>Service drawer, 1 HU, модель/артикул FX808439, кол-во 7</t>
  </si>
  <si>
    <t>FX808439</t>
  </si>
  <si>
    <t>NS 35/15 WH PERF 2000MM, модель/артикул 806602, кол-во 10</t>
  </si>
  <si>
    <t>806602</t>
  </si>
  <si>
    <t>Industrial Media Converter, SM, SC, модель/артикул IMC-101-S-SC, кол-во 1</t>
  </si>
  <si>
    <t>IMC-101-S-SC</t>
  </si>
  <si>
    <t>300GB 15K RPM SAS 12Gbps Hard Drive, модель/артикул 400-ATII, кол-во 2</t>
  </si>
  <si>
    <t>400-ATII</t>
  </si>
  <si>
    <t>Housing surface-mount, gray, модель/артикул 788600, кол-во 44</t>
  </si>
  <si>
    <t>Cable duct, модель/артикул 3240190, кол-во 20</t>
  </si>
  <si>
    <t>3240190</t>
  </si>
  <si>
    <t>303S-YEL/WHT,200PR REFILL, модель/артикул 1006187, кол-во 16</t>
  </si>
  <si>
    <t>1006187</t>
  </si>
  <si>
    <t>Cable duct, модель/артикул 3240199, кол-во 10</t>
  </si>
  <si>
    <t>3240199</t>
  </si>
  <si>
    <t>Принтер, модель/артикул cb015a, кол-во 1</t>
  </si>
  <si>
    <t>CB015A</t>
  </si>
  <si>
    <t>Cable duct, модель/артикул 3240248, кол-во 25</t>
  </si>
  <si>
    <t>3240248</t>
  </si>
  <si>
    <t>Cable duct, модель/артикул 3240199, кол-во 8</t>
  </si>
  <si>
    <t>FlexES additional housing, модель/артикул FX808338, кол-во 2</t>
  </si>
  <si>
    <t>Cable, модель/артикул SCDUPLEX9/125-15, кол-во 32</t>
  </si>
  <si>
    <t>SCDUPLEX9/125-15</t>
  </si>
  <si>
    <t>303L FOAMPLUG - 2000 PR/CS, модель/артикул 1006186, кол-во 10</t>
  </si>
  <si>
    <t>1006186</t>
  </si>
  <si>
    <t>Cable channel, модель/артикул 3240357, кол-во 4</t>
  </si>
  <si>
    <t>Cable duct, модель/артикул 3240197, кол-во 10</t>
  </si>
  <si>
    <t>3240197</t>
  </si>
  <si>
    <t>5 x SHALLOW BASE - RED, модель/артикул CSR, кол-во 13</t>
  </si>
  <si>
    <t>CSR</t>
  </si>
  <si>
    <t>Cable channel, модель/артикул 3240197-RU, кол-во 9</t>
  </si>
  <si>
    <t>3240197-RU</t>
  </si>
  <si>
    <t>Монитор, модель/артикул p2210f, кол-во 1</t>
  </si>
  <si>
    <t>P2210F</t>
  </si>
  <si>
    <t>Battery extension housing for, модель/артикул FX808313, кол-во 1</t>
  </si>
  <si>
    <t>FX808313</t>
  </si>
  <si>
    <t>Монитор, модель/артикул u2421m, кол-во 2</t>
  </si>
  <si>
    <t>U2421M</t>
  </si>
  <si>
    <t>Монитор, модель/артикул p2213t, кол-во 2</t>
  </si>
  <si>
    <t>Системный блок Компьютер, модель/артикул p2217h, кол-во 1</t>
  </si>
  <si>
    <t>P2217H</t>
  </si>
  <si>
    <t>Ноутбук, модель/артикул pp11l, кол-во 1</t>
  </si>
  <si>
    <t>PP11L</t>
  </si>
  <si>
    <t>WEID 1631930000 SCHT 5S PA66 BG, модель/артикул 1631930000, кол-во 20</t>
  </si>
  <si>
    <t>1631930000</t>
  </si>
  <si>
    <t>Монитор, модель/артикул p2421d, кол-во 1</t>
  </si>
  <si>
    <t>P2421D</t>
  </si>
  <si>
    <t>Док-станция, модель/артикул wd19dcs, кол-во 1</t>
  </si>
  <si>
    <t>WD19DCS</t>
  </si>
  <si>
    <t>Cable duct, модель/артикул 3240605, кол-во 6</t>
  </si>
  <si>
    <t>3240605</t>
  </si>
  <si>
    <t>Монитор, модель/артикул p2422h, кол-во 1</t>
  </si>
  <si>
    <t>P2422H</t>
  </si>
  <si>
    <t>Input cable DOM-amp. 0,5m green, модель/артикул 583491A, кол-во 8</t>
  </si>
  <si>
    <t>WTR4 DISCONNECT TERMINAL NO STB, модель/артикул 7910180000, кол-во 50</t>
  </si>
  <si>
    <t>7910180000</t>
  </si>
  <si>
    <t>Optical wire SC-SCDuplex9/125 5m, модель/артикул SC-SCDUPLEX9/125-5, кол-во 15</t>
  </si>
  <si>
    <t>SC-SCDUPLEX9/125-5</t>
  </si>
  <si>
    <t>Монитор, модель/артикул u2421m, кол-во 1</t>
  </si>
  <si>
    <t>Монитор, модель/артикул p2213t, кол-во 1</t>
  </si>
  <si>
    <t>Weidmuller WEW 35/2, End Bracket, beige, модель/артикул 1061200000, кол-во 50</t>
  </si>
  <si>
    <t>1061200000</t>
  </si>
  <si>
    <t>Принтер, модель/артикул cf274a, кол-во 1</t>
  </si>
  <si>
    <t>CF274A</t>
  </si>
  <si>
    <t>Cable channel, модель/артикул 3240605, кол-во 4</t>
  </si>
  <si>
    <t>Housing surface-mount, gray, модель/артикул 788600, кол-во 7</t>
  </si>
  <si>
    <t>Perforated DIN rail, модель/артикул 3240190, кол-во 3</t>
  </si>
  <si>
    <t>Монитор, модель/артикул u2412mb, кол-во 2</t>
  </si>
  <si>
    <t>U2412MB</t>
  </si>
  <si>
    <t>Монитор, модель/артикул kcd2090xi, кол-во 1</t>
  </si>
  <si>
    <t>KCD2090XI</t>
  </si>
  <si>
    <t>Displayport to dvi -d, модель/артикул fh973a, кол-во 4</t>
  </si>
  <si>
    <t>FH973A</t>
  </si>
  <si>
    <t>Монитор, модель/артикул p2212hb, кол-во 1</t>
  </si>
  <si>
    <t>P2212HB</t>
  </si>
  <si>
    <t>Монитор, модель/артикул u2410f, кол-во 1</t>
  </si>
  <si>
    <t>Cable, модель/артикул SCDUPLEX9/125-10, кол-во 4</t>
  </si>
  <si>
    <t>SCDUPLEX9/125-10</t>
  </si>
  <si>
    <t>WAP 2.5-10 END PLATE, модель/артикул 1050000000, кол-во 50</t>
  </si>
  <si>
    <t>1050000000</t>
  </si>
  <si>
    <t>Optical wire SC-SCDuplex9/125 2m, модель/артикул SC-SCDUPLEX9/125-2, кол-во 4</t>
  </si>
  <si>
    <t>SC-SCDUPLEX9/125-2</t>
  </si>
  <si>
    <t>Системный блок Компьютер, модель/артикул p2213f, кол-во 1</t>
  </si>
  <si>
    <t>P2213F</t>
  </si>
  <si>
    <t>Монитор, модель/артикул p2213f, кол-во 1</t>
  </si>
  <si>
    <t>Зарядное устройство, модель/артикул 240w, кол-во 1</t>
  </si>
  <si>
    <t>240W</t>
  </si>
  <si>
    <t>Металлические крепления, модель/артикул LA5496411314, кол-во 1</t>
  </si>
  <si>
    <t>LA5496411314</t>
  </si>
  <si>
    <t>Системный блок Компьютер, модель/артикул 2208wfpt, кол-во 1</t>
  </si>
  <si>
    <t>2208WFPT</t>
  </si>
  <si>
    <t>Optical wire SC-SCDuplex9/125 1m, модель/артикул SC-SCDUPLEX9/125-1, кол-во 2</t>
  </si>
  <si>
    <t>SC-SCDUPLEX9/125-1</t>
  </si>
  <si>
    <t>Монитор, модель/артикул sdm-s93, кол-во 1</t>
  </si>
  <si>
    <t>SDM-S93</t>
  </si>
  <si>
    <t>Док-станция, модель/артикул sk8115, кол-во 1</t>
  </si>
  <si>
    <t>SK8115</t>
  </si>
  <si>
    <t>Лампа, модель/артикул kd-050 c03, кол-во 2</t>
  </si>
  <si>
    <t>KD-050</t>
  </si>
  <si>
    <t>Системный блок Компьютер, модель/артикул optiplex 790, кол-во 1</t>
  </si>
  <si>
    <t>OPTIPLEX</t>
  </si>
  <si>
    <t>Системный блок Компьютер, модель/артикул precithion t1700, кол-во 1</t>
  </si>
  <si>
    <t>PRECITHION</t>
  </si>
  <si>
    <t>Монитор, модель/артикул lcd 2080i, кол-во 1</t>
  </si>
  <si>
    <t>LCD</t>
  </si>
  <si>
    <t>Принтер, модель/артикул phaser 3250, кол-во 1</t>
  </si>
  <si>
    <t>PHASER</t>
  </si>
  <si>
    <t>Сканер, модель/артикул perthection v100 photo, кол-во 1</t>
  </si>
  <si>
    <t>PERTHECTION</t>
  </si>
  <si>
    <t>Системный блок Компьютер, модель/артикул optiplex 7020, кол-во 1</t>
  </si>
  <si>
    <t>Телефон, модель/артикул ip phone 7942, кол-во 17</t>
  </si>
  <si>
    <t>IP</t>
  </si>
  <si>
    <t>Системный блок Компьютер, модель/артикул precition t3500, кол-во 1</t>
  </si>
  <si>
    <t>PRECITION</t>
  </si>
  <si>
    <t>Ноутбук, модель/артикул latitude e 6420, кол-во 1</t>
  </si>
  <si>
    <t>LATITUDE</t>
  </si>
  <si>
    <t>Ноутбук, модель/артикул pavilion dv5, кол-во 1</t>
  </si>
  <si>
    <t>PAVILION</t>
  </si>
  <si>
    <t>Свитч, модель/артикул catalist 2960, кол-во 1</t>
  </si>
  <si>
    <t>CATALIST</t>
  </si>
  <si>
    <t>Монитор, модель/артикул glatron 24eb23py, кол-во 1</t>
  </si>
  <si>
    <t>GLATRON</t>
  </si>
  <si>
    <t>Системный блок Компьютер, модель/артикул precision t1700, кол-во 1</t>
  </si>
  <si>
    <t>PRECISION</t>
  </si>
  <si>
    <t>Системный блок Компьютер, модель/артикул optiplex 990, кол-во 1</t>
  </si>
  <si>
    <t>Cable, модель/артикул метров обрезки силового кабеля 2.5мм, кол-во 1</t>
  </si>
  <si>
    <t>МЕТРОВ</t>
  </si>
  <si>
    <t>Принтер, модель/артикул Color LaserJet Pro White A4 Printer M454DN, кол-во 1</t>
  </si>
  <si>
    <t>COLOR</t>
  </si>
  <si>
    <t>CORDED EARPLUG 1CS=500PAIRS, модель/артикул 304L 1000106, кол-во 10</t>
  </si>
  <si>
    <t>304L</t>
  </si>
  <si>
    <t>Камера видеонаблюдения, модель/артикул HBL6GR2 4.1, кол-во 5</t>
  </si>
  <si>
    <t>HBL6GR2</t>
  </si>
  <si>
    <t>Шкаф серверный, модель/артикул easy rack sr 24 he 584900 800x1300x800, кол-во 1</t>
  </si>
  <si>
    <t>EASY</t>
  </si>
  <si>
    <t>Loudspeaker, модель/артикул l-vom40a/en (1020902004, кол-во 6</t>
  </si>
  <si>
    <t>L-VOM40A/EN</t>
  </si>
  <si>
    <t>BWC4 - O2, LEL, H2S, CO, Yellow, RU, модель/артикул BWC4-Y-R, кол-во 290</t>
  </si>
  <si>
    <t>BWC4-Y-R</t>
  </si>
  <si>
    <t>BACNET MS/TP HVAC CONTROLLER, модель/артикул CPO-RL4, кол-во 200</t>
  </si>
  <si>
    <t>CPO-RL4</t>
  </si>
  <si>
    <t>Извещатель Optical smoke detector, модель/артикул 802371, кол-во 1139</t>
  </si>
  <si>
    <t>GASALERT SERIES IR CONNECTIVITY KIT, модель/артикул 129625-L3, кол-во 48</t>
  </si>
  <si>
    <t>129625-L3</t>
  </si>
  <si>
    <t>XNX CU-TR M25 ALU CAT HT REL, модель/артикул XNX-RMAV-RNNNN, кол-во 20</t>
  </si>
  <si>
    <t>XNX-RMAV-RNNNN</t>
  </si>
  <si>
    <t>FTA-C300-16DI-F-SLIM-G3-S, модель/артикул 7508001858, кол-во 53</t>
  </si>
  <si>
    <t>7508001858</t>
  </si>
  <si>
    <t>ASD1/V2-COMPLETE, модель/артикул 280869341, кол-во 86</t>
  </si>
  <si>
    <t>280869341</t>
  </si>
  <si>
    <t>COMB GAS VALVE 230V, модель/артикул VR420VA1004-0000, кол-во 18</t>
  </si>
  <si>
    <t>VR420VA1004-0000</t>
  </si>
  <si>
    <t>DAMPER ACTUATOR 5NM 24V 0-10V, модель/артикул N05010, кол-во 118</t>
  </si>
  <si>
    <t>N05010</t>
  </si>
  <si>
    <t>PSU 52Ah for MB-Secure, модель/артикул 13960, кол-во 28</t>
  </si>
  <si>
    <t>FTA-C300-16DI-F-SLIM-G3-S, модель/артикул 7508001857, кол-во 30</t>
  </si>
  <si>
    <t>7508001857</t>
  </si>
  <si>
    <t>1800N CORELLA 230V, модель/артикул ML6421A3013, кол-во 22</t>
  </si>
  <si>
    <t>ML6421A3013</t>
  </si>
  <si>
    <t>Настенный датчик температуры 20 K DIGITAL WALL MODULE, модель/артикул T7560B1008, кол-во 43</t>
  </si>
  <si>
    <t>T7560B1008</t>
  </si>
  <si>
    <t>Digital Input Module, модель/артикул TPPR-V-1040, кол-во 9</t>
  </si>
  <si>
    <t>TPPR-V-1040</t>
  </si>
  <si>
    <t>WKS PC DELL R7920XL RAID1 RACK, модель/артикул MZ-PCWS77, кол-во 4</t>
  </si>
  <si>
    <t>MZ-PCWS77</t>
  </si>
  <si>
    <t>1800N CORELLA 230V, модель/артикул ML6421A3013, кол-во 17</t>
  </si>
  <si>
    <t>MANUAL ASPIRATOR PUMP FOR, модель/артикул 121679-L3, кол-во 45</t>
  </si>
  <si>
    <t>121679-L3</t>
  </si>
  <si>
    <t>ELECTRIC LINEAR VALVE ACTUATOR, модель/артикул ML6420A3072, кол-во 7</t>
  </si>
  <si>
    <t>ML6420A3072</t>
  </si>
  <si>
    <t>NXL HVAC INVERTER: 15KW/400V/31A/IP54, модель/артикул HVAC31C5, кол-во 2</t>
  </si>
  <si>
    <t>HVAC31C5</t>
  </si>
  <si>
    <t>COMB GAS VALVE 3/4 220/240V, модель/артикул VR420AB1002-0000, кол-во 6</t>
  </si>
  <si>
    <t>VR420AB1002-0000</t>
  </si>
  <si>
    <t>3-WAY VALVE PN6 DN40 KVS25, модель/артикул V5329C1059, кол-во 15</t>
  </si>
  <si>
    <t>V5329C1059</t>
  </si>
  <si>
    <t>DIGITAL OUTPUT MODUL, модель/артикул PCD2.A200, кол-во 5</t>
  </si>
  <si>
    <t>PCD2.A200</t>
  </si>
  <si>
    <t>COMB GAS VALVE 230V, модель/артикул VR420VA1004-0000, кол-во 5</t>
  </si>
  <si>
    <t>MANUAL ASPIRATOR PUMP FOR, модель/артикул 121679-L3, кол-во 33</t>
  </si>
  <si>
    <t>Ball-and-socket joint for wall mounting, модель/артикул 033588.17, кол-во 175</t>
  </si>
  <si>
    <t>033588.17</t>
  </si>
  <si>
    <t>Exting. control panel 8010, RU,, модель/артикул 788013.40.RU, кол-во 3</t>
  </si>
  <si>
    <t>788013.40.RU</t>
  </si>
  <si>
    <t>10 W Cabinet loudspeaker, модель/артикул 581276, кол-во 39</t>
  </si>
  <si>
    <t>ELECTRONICAL PRESSURE TRANSMITTER, модель/артикул PTSRB0101V3, кол-во 7</t>
  </si>
  <si>
    <t>PTSRB0101V3</t>
  </si>
  <si>
    <t>Корпус настенной установки ANALOGUE I/FACE DET MODULE S/FACE BOX, модель/артикул M200E-SMB, кол-во 600</t>
  </si>
  <si>
    <t>2-WAY VALVE PN16 DN40 KVS25, модель/артикул V5328A1088, кол-во 11</t>
  </si>
  <si>
    <t>V5328A1088</t>
  </si>
  <si>
    <t>DIGITAL WALL MODULE, BLUE/WHITE, C, модель/артикул T7560A1000, кол-во 35</t>
  </si>
  <si>
    <t>T7560A1000</t>
  </si>
  <si>
    <t>NXL HVAC INVERTER: 22KW/400V/46A/IP54, модель/артикул HVAC46C5, кол-во 1</t>
  </si>
  <si>
    <t>HVAC46C5</t>
  </si>
  <si>
    <t>STRAP-ON SENSOR PT1000, IP54, модель/артикул SF00-B54, кол-во 50</t>
  </si>
  <si>
    <t>SF00-B54</t>
  </si>
  <si>
    <t>3-WAY VALVE PN6 DN100 KVS140, модель/артикул V5015A1151, кол-во 4</t>
  </si>
  <si>
    <t>V5015A1151</t>
  </si>
  <si>
    <t>EARMUFF LEIGHTNING L1N NECKBND, модель/артикул 1011994, кол-во 240</t>
  </si>
  <si>
    <t>1011994</t>
  </si>
  <si>
    <t>CENTRIC BUTTERFLY VALVE DN200, модель/артикул V5421B1090, кол-во 6</t>
  </si>
  <si>
    <t>V5421B1090</t>
  </si>
  <si>
    <t>3-WAY VALVE PN16 DN100 KVS160, модель/артикул V5050A1090, кол-во 2</t>
  </si>
  <si>
    <t>V5050A1090</t>
  </si>
  <si>
    <t>MINI PEEPER TUBE, модель/артикул 129464N/U, кол-во 186</t>
  </si>
  <si>
    <t>129464N/U</t>
  </si>
  <si>
    <t>REDUCER 316 ST STL M25(M) TO M20(F), модель/артикул RDU300504, кол-во 116</t>
  </si>
  <si>
    <t>RDU300504</t>
  </si>
  <si>
    <t>DAMPER ACTUATOR 5NM 24V FLOATING, модель/артикул N0524, кол-во 16</t>
  </si>
  <si>
    <t>N0524</t>
  </si>
  <si>
    <t>COMBI VALVE DN50 360MBAR IP54 230V PG11, модель/артикул VQ450MB1006, кол-во 5</t>
  </si>
  <si>
    <t>VQ450MB1006</t>
  </si>
  <si>
    <t>2-WAY VALVE PN16 DN15 KVS1,6, модель/артикул V5328A1013, кол-во 4</t>
  </si>
  <si>
    <t>V5328A1013</t>
  </si>
  <si>
    <t>3-WAY VALVE PN6 DN125 KVS220, модель/артикул V5015A1169, кол-во 2</t>
  </si>
  <si>
    <t>V5015A1169</t>
  </si>
  <si>
    <t>Digital Input Module, модель/артикул TPPR-V-1030, кол-во 2</t>
  </si>
  <si>
    <t>TPPR-V-1030</t>
  </si>
  <si>
    <t>Корпус настенной установки ANALOGUE I/FACE DET MODULE S/FACE BOX, модель/артикул M200E-SMB, кол-во 351</t>
  </si>
  <si>
    <t>NXL HVAC INVERTER: 11KW/400V/23A/IP54, модель/артикул HVAC23C5, кол-во 1</t>
  </si>
  <si>
    <t>HVAC23C5</t>
  </si>
  <si>
    <t>3-WAY VALVE PN6 DN40 KVS25, модель/артикул V5329C1059, кол-во 6</t>
  </si>
  <si>
    <t>3-WAY VALVE PN6 DN80 KVS100, модель/артикул V5329C1083, кол-во 4</t>
  </si>
  <si>
    <t>V5329C1083</t>
  </si>
  <si>
    <t>2-WAY VALVE PN16 DN80 KVS100, модель/артикул V5016A1135, кол-во 2</t>
  </si>
  <si>
    <t>V5016A1135</t>
  </si>
  <si>
    <t>Power supply 640мА SV/S30.640.5.1, модель/артикул 2CDG110146R0011, кол-во 3</t>
  </si>
  <si>
    <t>2CDG110146R0011</t>
  </si>
  <si>
    <t>DOME IP M/PIXEL INT D/N 720P 3.3-12mm, модель/артикул H3D1F1X, кол-во 144</t>
  </si>
  <si>
    <t>H3D1F1X</t>
  </si>
  <si>
    <t>3-WAY VALVE PN16 DN150 KVS360, модель/артикул V5050A1116, кол-во 2</t>
  </si>
  <si>
    <t>V5050A1116</t>
  </si>
  <si>
    <t>WKS PC HP Z4 G4 RAID1 TOWER, модель/артикул MZ-PCWS84, кол-во 5</t>
  </si>
  <si>
    <t>MZ-PCWS84</t>
  </si>
  <si>
    <t>3-WAY VALVE PN6 DN80 KVS100, модель/артикул V5329C1083, кол-во 3</t>
  </si>
  <si>
    <t>3-WAY VALVE PN16 DN100 KVS160, модель/артикул V5050A1090, кол-во 1</t>
  </si>
  <si>
    <t>WALL MULTI-SENSOR, T-H-CO2-PM2.5-TVOC, модель/артикул C7355A1050, кол-во 1</t>
  </si>
  <si>
    <t>C7355A1050</t>
  </si>
  <si>
    <t>1000 DUAL NIC PCIe, модель/артикул NE-NICS02, кол-во 2</t>
  </si>
  <si>
    <t>NE-NICS02</t>
  </si>
  <si>
    <t>luminAXS mifareD readerRS485/c-d/W wo kb, модель/артикул 027913.10, кол-во 5</t>
  </si>
  <si>
    <t>027913.10</t>
  </si>
  <si>
    <t>D 20.672.222.702, модель/артикул 187091, кол-во 30</t>
  </si>
  <si>
    <t>187091</t>
  </si>
  <si>
    <t>D 20.672.201.022, модель/артикул 185891, кол-во 30</t>
  </si>
  <si>
    <t>185891</t>
  </si>
  <si>
    <t>PT1000 ROOM SENSOR, модель/артикул T7460A1018, кол-во 20</t>
  </si>
  <si>
    <t>T7460A1018</t>
  </si>
  <si>
    <t>DN125 MBV DI Body Disk Matl Epoxy coated, модель/артикул BF-HWC4-PN16-0125, кол-во 39</t>
  </si>
  <si>
    <t>BF-HWC4-PN16-0125</t>
  </si>
  <si>
    <t>DUCT SENSOR NTC20K, IP65, 300MM, 5M, модель/артикул LF20-3P65-5M, кол-во 8</t>
  </si>
  <si>
    <t>LF20-3P65-5M</t>
  </si>
  <si>
    <t>PD-C360i/8 KNX UP, модель/артикул EP10427404, кол-во 7</t>
  </si>
  <si>
    <t>EP10427404</t>
  </si>
  <si>
    <t>DIGITAL WALL MODULE, WHITE/WHITE,RH, C, модель/артикул T7560B1024, кол-во 7</t>
  </si>
  <si>
    <t>T7560B1024</t>
  </si>
  <si>
    <t>COMBI VALVE DN40 360MBAR IP54 230V PG11, модель/артикул VQ440MB1005, кол-во 5</t>
  </si>
  <si>
    <t>VQ440MB1005</t>
  </si>
  <si>
    <t>PCD3 PROCESSOR UNIT, модель/артикул PCD3.M3360, кол-во 1</t>
  </si>
  <si>
    <t>PCD3.M3360</t>
  </si>
  <si>
    <t>D 20.6511.21, модель/артикул 127411, кол-во 150</t>
  </si>
  <si>
    <t>127411</t>
  </si>
  <si>
    <t>D 20.671.201.022, модель/артикул 183791, кол-во 40</t>
  </si>
  <si>
    <t>183791</t>
  </si>
  <si>
    <t>4DG/2OP module BUS-2/BUS-1 s.m., модель/артикул 010130.10, кол-во 10</t>
  </si>
  <si>
    <t>010130.10</t>
  </si>
  <si>
    <t>3-WAY VALVES PN16 DN50 KVS 40 FEMALE, модель/артикул V5013R1099, кол-во 5</t>
  </si>
  <si>
    <t>V5013R1099</t>
  </si>
  <si>
    <t>D 20.6511.70, модель/артикул 155111, кол-во 150</t>
  </si>
  <si>
    <t>155111</t>
  </si>
  <si>
    <t>2-WAY VALVE PN16 DN40 KVS25, модель/артикул V5328A1088, кол-во 3</t>
  </si>
  <si>
    <t>Rod sensor, Pt1000, 300mm, IP65, no well, модель/артикул VF00-3B65NW, кол-во 6</t>
  </si>
  <si>
    <t>VF00-3B65NW</t>
  </si>
  <si>
    <t>2-WAY VALVE PN16 DN40 KVS25, модель/артикул V5016A1101, кол-во 2</t>
  </si>
  <si>
    <t>V5016A1101</t>
  </si>
  <si>
    <t>MODUTROL MOTOR (EUROPEAN), модель/артикул M7294Q1015/U, кол-во 6</t>
  </si>
  <si>
    <t>M7294Q1015/U</t>
  </si>
  <si>
    <t>DAMPER ACTUATOR 10NM 24V 0 TO 10V, модель/артикул N10010, кол-во 2</t>
  </si>
  <si>
    <t>N10010</t>
  </si>
  <si>
    <t>ANALOG OUTPUT MODULE (LON), модель/артикул XFLR822A, кол-во 3</t>
  </si>
  <si>
    <t>2.5 «HDD 600 GB SAS 10K, модель/артикул 600GB-SAS2.5, кол-во 4</t>
  </si>
  <si>
    <t>600GB-SAS2.5</t>
  </si>
  <si>
    <t>3-WAY VALVE PN16 DN150 KVS360, модель/артикул V5050A1116, кол-во 1</t>
  </si>
  <si>
    <t>Quick-Pack panel, модель/артикул RIC-F-LCU24-01C, кол-во 7</t>
  </si>
  <si>
    <t>RIC-F-LCU24-01C</t>
  </si>
  <si>
    <t>3-WAY VALVE PN16 DN40 KVS25, модель/артикул V5329A1053, кол-во 2</t>
  </si>
  <si>
    <t>V5329A1053</t>
  </si>
  <si>
    <t>3-WAY VALVE PN6 DN100 KVS140, модель/артикул V5015A1151, кол-во 1</t>
  </si>
  <si>
    <t>Chassis, модель/артикул AT-MMCR18-60-RU, кол-во 2</t>
  </si>
  <si>
    <t>AT-MMCR18-60-RU</t>
  </si>
  <si>
    <t>2-WAY VALVES PN16 DN15 KVS0.63, модель/артикул V5011R1000, кол-во 7</t>
  </si>
  <si>
    <t>V5011R1000</t>
  </si>
  <si>
    <t>6 RELAYS WITH OVERRIDE (LON), модель/артикул XFLR824A, кол-во 5</t>
  </si>
  <si>
    <t>D 20.485.64 RADIO, модель/артикул 174813, кол-во 4</t>
  </si>
  <si>
    <t>174813</t>
  </si>
  <si>
    <t>D 20.672.243.022, модель/артикул 187591, кол-во 30</t>
  </si>
  <si>
    <t>187591</t>
  </si>
  <si>
    <t>1800N CORELLA 230V, модель/артикул ML6421A3013, кол-во 2</t>
  </si>
  <si>
    <t>D 20.673.201.702, модель/артикул 188091, кол-во 10</t>
  </si>
  <si>
    <t>188091</t>
  </si>
  <si>
    <t>3.5 «HDD 600 GB SATA, модель/артикул 600GB-SAS3.5, кол-во 4</t>
  </si>
  <si>
    <t>600GB-SAS3.5</t>
  </si>
  <si>
    <t>D 20.673.223.192, модель/артикул 189291, кол-во 10</t>
  </si>
  <si>
    <t>189291</t>
  </si>
  <si>
    <t>2-WAY VALVE PN16 DN80 KVS100, модель/артикул V5328A1112, кол-во 1</t>
  </si>
  <si>
    <t>V5328A1112</t>
  </si>
  <si>
    <t>VALVE ACT.2POS./FLOAT.24V VAC, модель/артикул ML6421A3005, кол-во 5</t>
  </si>
  <si>
    <t>ML6421A3005</t>
  </si>
  <si>
    <t>D 95.6511.02 SI, модель/артикул 820611, кол-во 80</t>
  </si>
  <si>
    <t>820611</t>
  </si>
  <si>
    <t>3-WAY VALVE PN16 DN32 KVS16, модель/артикул V5329A1046, кол-во 2</t>
  </si>
  <si>
    <t>V5329A1046</t>
  </si>
  <si>
    <t>FROST PROTECTION THERMOSTAT 6M MANUAL, модель/артикул FT6960-60, кол-во 3</t>
  </si>
  <si>
    <t>FT6960-60</t>
  </si>
  <si>
    <t>Optical rack, модель/артикул FCP3-RACK, кол-во 7</t>
  </si>
  <si>
    <t>FCP3-RACK</t>
  </si>
  <si>
    <t>2-WAY VALVE PN16 DN15 KVS1, модель/артикул V5328A1005, кол-во 1</t>
  </si>
  <si>
    <t>V5328A1005</t>
  </si>
  <si>
    <t>2-WAY VALVE PN16 DN20 KVS4, модель/артикул V5328A1047, кол-во 1</t>
  </si>
  <si>
    <t>V5328A1047</t>
  </si>
  <si>
    <t>D 20.672.192 T, модель/артикул 35211, кол-во 59</t>
  </si>
  <si>
    <t>35211</t>
  </si>
  <si>
    <t>D 20.671.222.022, модель/артикул 184791, кол-во 21</t>
  </si>
  <si>
    <t>184791</t>
  </si>
  <si>
    <t>luminAXS mifareD readerRS485/c-d/W wo kb, модель/артикул 027913.10, кол-во 2</t>
  </si>
  <si>
    <t>Sensor of Overhead presence, модель/артикул EP10425882, кол-во 4</t>
  </si>
  <si>
    <t>EP10425882</t>
  </si>
  <si>
    <t>DAMPER ACTUATOR 5NM 230V 2-POS, модель/артикул N05230-2POS, кол-во 4</t>
  </si>
  <si>
    <t>N05230-2POS</t>
  </si>
  <si>
    <t>COMBI VALVE DN50 360MBAR IP65 230V DIN, модель/артикул VQ450MA1015, кол-во 1</t>
  </si>
  <si>
    <t>VQ450MA1015</t>
  </si>
  <si>
    <t>Ip-interface IPS/S3.1.1, модель/артикул 2CDG110177R0011, кол-во 1</t>
  </si>
  <si>
    <t>2CDG110177R0011</t>
  </si>
  <si>
    <t>D 20.671.240.192, модель/артикул 185191, кол-во 34</t>
  </si>
  <si>
    <t>185191</t>
  </si>
  <si>
    <t>3-WAY VALVE PN6 DN80 KVS100, модель/артикул V5329C1083, кол-во 1</t>
  </si>
  <si>
    <t>D 20.673.222.192, модель/артикул 189091, кол-во 7</t>
  </si>
  <si>
    <t>189091</t>
  </si>
  <si>
    <t>D 95.571.70.60, модель/артикул 773111, кол-во 43</t>
  </si>
  <si>
    <t>773111</t>
  </si>
  <si>
    <t>D 1930/4.02 O.A., модель/артикул 902591, кол-во 26</t>
  </si>
  <si>
    <t>902591</t>
  </si>
  <si>
    <t>D 95.540.70, модель/артикул 309811, кол-во 82</t>
  </si>
  <si>
    <t>309811</t>
  </si>
  <si>
    <t>D 20.545.02, модель/артикул 104011, кол-во 92</t>
  </si>
  <si>
    <t>104011</t>
  </si>
  <si>
    <t>Датчик перепада давления DIFF.TRANSM. 3-WIRE, - 1000Pa/+1000Pa, модель/артикул DPTE1000S, кол-во 1</t>
  </si>
  <si>
    <t>DPTE1000S</t>
  </si>
  <si>
    <t>3-WAY VALVES PN16 DN20 KVS 6.3 FEMALE, модель/артикул V5013R1057, кол-во 4</t>
  </si>
  <si>
    <t>V5013R1057</t>
  </si>
  <si>
    <t>D 20.545.702, модель/артикул 54611, кол-во 50</t>
  </si>
  <si>
    <t>54611</t>
  </si>
  <si>
    <t>Media converter, модель/артикул AT-MMC200LX, кол-во 4</t>
  </si>
  <si>
    <t>AT-MMC200LX</t>
  </si>
  <si>
    <t>ACT.DIRECT SPR.RET.230V, модель/артикул ML6425A3014, кол-во 1</t>
  </si>
  <si>
    <t>ML6425A3014</t>
  </si>
  <si>
    <t>Видеокарта NVIDIA Quadro, модель/артикул P400-RU, кол-во 4</t>
  </si>
  <si>
    <t>P400-RU</t>
  </si>
  <si>
    <t>D 20.6511.02 OKS, модель/артикул 106511, кол-во 104</t>
  </si>
  <si>
    <t>106511</t>
  </si>
  <si>
    <t>D 95.6511.26, модель/артикул 775511, кол-во 50</t>
  </si>
  <si>
    <t>775511</t>
  </si>
  <si>
    <t>EXTERNAL THREAD WITH NBR O-RING, модель/артикул MAU8/MS, кол-во 7</t>
  </si>
  <si>
    <t>MAU8/MS</t>
  </si>
  <si>
    <t>50004263-001 230-120-24/24V TRANSFORMER, модель/артикул 50017460-001/U, кол-во 3</t>
  </si>
  <si>
    <t>50017460-001/U</t>
  </si>
  <si>
    <t>D 20.671.223.192, модель/артикул 185091, кол-во 13</t>
  </si>
  <si>
    <t>185091</t>
  </si>
  <si>
    <t>MOXA MGATE MODBUS GATEWAY, модель/артикул MB3480, кол-во 1</t>
  </si>
  <si>
    <t>MB3480</t>
  </si>
  <si>
    <t>2-WAY VALVES PN16 DN15 KVS 1.0, модель/артикул V5832A1046, кол-во 5</t>
  </si>
  <si>
    <t>V5832A1046</t>
  </si>
  <si>
    <t>D 20.574.02 T, модель/артикул 171411, кол-во 20</t>
  </si>
  <si>
    <t>171411</t>
  </si>
  <si>
    <t>D 20.673.244.192, модель/артикул 189791, кол-во 7</t>
  </si>
  <si>
    <t>189791</t>
  </si>
  <si>
    <t>D 20.674.201.702, модель/артикул 190191, кол-во 3</t>
  </si>
  <si>
    <t>190191</t>
  </si>
  <si>
    <t>DAMPER ACTUATOR 34NM 24V FLOATING, модель/артикул N3424, кол-во 2</t>
  </si>
  <si>
    <t>N3424</t>
  </si>
  <si>
    <t>D 20.674.221.192, модель/артикул 191091, кол-во 3</t>
  </si>
  <si>
    <t>191091</t>
  </si>
  <si>
    <t>D 20.572.51.70, модель/артикул 101411, кол-во 6</t>
  </si>
  <si>
    <t>101411</t>
  </si>
  <si>
    <t>Cable organazer, модель/артикул HCM-4-2U, кол-во 4</t>
  </si>
  <si>
    <t>HCM-4-2U</t>
  </si>
  <si>
    <t>Presence sensor PD-ATMO360i/8 T KNX, модель/артикул EP10427213, кол-во 1</t>
  </si>
  <si>
    <t>EP10427213</t>
  </si>
  <si>
    <t>D 20.572.150.21, модель/артикул 162211, кол-во 10</t>
  </si>
  <si>
    <t>162211</t>
  </si>
  <si>
    <t>DAMPER ACTUATOR, модель/артикул S0324-2POS-SW1, кол-во 2</t>
  </si>
  <si>
    <t>S0324-2POS-SW1</t>
  </si>
  <si>
    <t>D 20.571.02 T, модель/артикул 171111, кол-во 60</t>
  </si>
  <si>
    <t>171111</t>
  </si>
  <si>
    <t>UNIVERSAL ANALOGUE INPUT MODULE, модель/артикул PCD3.W340, кол-во 1</t>
  </si>
  <si>
    <t>PCD3.W340</t>
  </si>
  <si>
    <t>D 20.674.220.192, модель/артикул 190891, кол-во 3</t>
  </si>
  <si>
    <t>190891</t>
  </si>
  <si>
    <t>3-WAY VALVE PN16 DN15 KVS2,5, модель/артикул V5329A1004, кол-во 1</t>
  </si>
  <si>
    <t>V5329A1004</t>
  </si>
  <si>
    <t>10NM 24V MODULATING SR DCA, 2 SWITCHES, модель/артикул S10010-SW2, кол-во 2</t>
  </si>
  <si>
    <t>S10010-SW2</t>
  </si>
  <si>
    <t>DAMPER ACTUATOR 5NM 24V 3-PKT SCHALTER, модель/артикул N0524-SW2, кол-во 2</t>
  </si>
  <si>
    <t>N0524-SW2</t>
  </si>
  <si>
    <t>D 95.572.70.60, модель/артикул 773211, кол-во 22</t>
  </si>
  <si>
    <t>773211</t>
  </si>
  <si>
    <t>Power Distribution FTA, модель/артикул 7508002114, кол-во 2</t>
  </si>
  <si>
    <t>7508002114</t>
  </si>
  <si>
    <t>Splice box, модель/артикул TRAY-3, кол-во 7</t>
  </si>
  <si>
    <t>TRAY-3</t>
  </si>
  <si>
    <t>D 20.673.222.192, модель/артикул 189091, кол-во 3</t>
  </si>
  <si>
    <t>Horizontal angle, 100x80mm, модель/артикул 36022-RU, кол-во 11</t>
  </si>
  <si>
    <t>36022-RU</t>
  </si>
  <si>
    <t>D 20.671.243.022, модель/артикул 185491, кол-во 14</t>
  </si>
  <si>
    <t>185491</t>
  </si>
  <si>
    <t>DAMPER ACTUATOR, модель/артикул S05230-2POS, кол-во 2</t>
  </si>
  <si>
    <t>S05230-2POS</t>
  </si>
  <si>
    <t>Power Supply, модель/артикул F750E-S0, кол-во 2</t>
  </si>
  <si>
    <t>F750E-S0</t>
  </si>
  <si>
    <t>3WV PN16 DN20 KVS4.0 ON-OFF, модель/артикул VSOF-320-4.0, кол-во 1</t>
  </si>
  <si>
    <t>VSOF-320-4.0</t>
  </si>
  <si>
    <t>CABLE IMMERSION SENSOR PT1000, 2M, модель/артикул KTF00-65-2M, кол-во 4</t>
  </si>
  <si>
    <t>KTF00-65-2M</t>
  </si>
  <si>
    <t>D 20.674.240.192, модель/артикул 191591, кол-во 3</t>
  </si>
  <si>
    <t>191591</t>
  </si>
  <si>
    <t>DAMPER ACTUATOR 34NM 230V FLOATING, модель/артикул N34230, кол-во 1</t>
  </si>
  <si>
    <t>N34230</t>
  </si>
  <si>
    <t>DTI6 DP SENSOR 0-6BAR 10-30VDC 4-20MA, модель/артикул DTI6, кол-во 3</t>
  </si>
  <si>
    <t>DTI6</t>
  </si>
  <si>
    <t>FLAME SWITCH, UV, 115/230VAC, модель/артикул R4343E1048-ST005, кол-во 2</t>
  </si>
  <si>
    <t>R4343E1048-ST005</t>
  </si>
  <si>
    <t>D 20.610.70 TV, модель/артикул 153711, кол-во 20</t>
  </si>
  <si>
    <t>153711</t>
  </si>
  <si>
    <t>D 95.571.78, модель/артикул 369111, кол-во 40</t>
  </si>
  <si>
    <t>369111</t>
  </si>
  <si>
    <t>D 20.534.702, модель/артикул 52811, кол-во 10</t>
  </si>
  <si>
    <t>52811</t>
  </si>
  <si>
    <t>D 20.534.022, модель/артикул 22811, кол-во 10</t>
  </si>
  <si>
    <t>22811</t>
  </si>
  <si>
    <t>D 20.545.21, модель/артикул 105411, кол-во 30</t>
  </si>
  <si>
    <t>105411</t>
  </si>
  <si>
    <t>D 20.607.022 FTR, модель/артикул 940293, кол-во 15</t>
  </si>
  <si>
    <t>940293</t>
  </si>
  <si>
    <t>Horizontal angle, 200x80mm, модель/артикул 36024-RU, кол-во 10</t>
  </si>
  <si>
    <t>36024-RU</t>
  </si>
  <si>
    <t>Power supply 230 VAC / 24 VDC, модель/артикул PCD7.L500, кол-во 1</t>
  </si>
  <si>
    <t>PCD7.L500</t>
  </si>
  <si>
    <t>Предохранитель плавкий, Fuse, 20A, модель/артикул FUSE-20A-5X20, кол-во 30</t>
  </si>
  <si>
    <t>FUSE-20A-5X20</t>
  </si>
  <si>
    <t>D 433 HAB O.A, модель/артикул 210213, кол-во 2</t>
  </si>
  <si>
    <t>210213</t>
  </si>
  <si>
    <t>D 95.572.03, модель/артикул 829211, кол-во 62</t>
  </si>
  <si>
    <t>829211</t>
  </si>
  <si>
    <t>T-coupler 400x80mm, модель/артикул 36146-RU, кол-во 4</t>
  </si>
  <si>
    <t>36146-RU</t>
  </si>
  <si>
    <t>D 20.674.242.702, модель/артикул 191791, кол-во 2</t>
  </si>
  <si>
    <t>191791</t>
  </si>
  <si>
    <t>Видеокарта NVIDIA Quadro, модель/артикул P600, кол-во 4</t>
  </si>
  <si>
    <t>P600</t>
  </si>
  <si>
    <t>6pol Socket H07RN Cable 2,5mm» ... m, модель/артикул 272369098, кол-во 24</t>
  </si>
  <si>
    <t>272369098</t>
  </si>
  <si>
    <t>D 20.675.022 T, модель/артикул 20511, кол-во 4</t>
  </si>
  <si>
    <t>20511</t>
  </si>
  <si>
    <t>Four unit rack mounting bracket for MC p, модель/артикул AT-TRAY4, кол-во 2</t>
  </si>
  <si>
    <t>AT-TRAY4</t>
  </si>
  <si>
    <t>Crossover coupler, 400x80mm, модель/артикул 36206-RU, кол-во 3</t>
  </si>
  <si>
    <t>36206-RU</t>
  </si>
  <si>
    <t>D 20.677.702-Z, модель/артикул 57511, кол-во 10</t>
  </si>
  <si>
    <t>57511</t>
  </si>
  <si>
    <t>D 20.571.64 T, модель/артикул 174111, кол-во 24</t>
  </si>
  <si>
    <t>174111</t>
  </si>
  <si>
    <t>D 20.545.192, модель/артикул 39611, кол-во 20</t>
  </si>
  <si>
    <t>39611</t>
  </si>
  <si>
    <t>D 20.645.21, модель/артикул 109411, кол-во 20</t>
  </si>
  <si>
    <t>109411</t>
  </si>
  <si>
    <t>Патч-корд волоконно-оптический (шнур) Hyperline FC-D2-50-SC/PR-SC/PR-H-20M-LSZ, модель/артикул SC-SC, кол-во 6</t>
  </si>
  <si>
    <t>SC-SC</t>
  </si>
  <si>
    <t>D 20.810.70 HR, модель/артикул 157413, кол-во 10</t>
  </si>
  <si>
    <t>157413</t>
  </si>
  <si>
    <t>D 20.673.022 W MP3, модель/артикул 179433, кол-во 1</t>
  </si>
  <si>
    <t>179433</t>
  </si>
  <si>
    <t>D 20.674.222.022, модель/артикул 191191, кол-во 1</t>
  </si>
  <si>
    <t>191191</t>
  </si>
  <si>
    <t>T-coupler, 200x80mm, модель/артикул 36144-RU, кол-во 7</t>
  </si>
  <si>
    <t>36144-RU</t>
  </si>
  <si>
    <t>D 20.671.192 T, модель/артикул 35111, кол-во 20</t>
  </si>
  <si>
    <t>35111</t>
  </si>
  <si>
    <t>Optical cross, модель/артикул NMF-RP16SCUS2-RU, кол-во 4</t>
  </si>
  <si>
    <t>NMF-RP16SCUS2-RU</t>
  </si>
  <si>
    <t>D 95.610.03 UAE/2-N, модель/артикул 787411, кол-во 20</t>
  </si>
  <si>
    <t>787411</t>
  </si>
  <si>
    <t>D 20.674.220.702, модель/артикул 190991, кол-во 1</t>
  </si>
  <si>
    <t>190991</t>
  </si>
  <si>
    <t>Electronic fuse, модель/артикул D-71570, кол-во 1</t>
  </si>
  <si>
    <t>D-71570</t>
  </si>
  <si>
    <t>D 20.610.21 TV, модель/артикул 125711, кол-во 16</t>
  </si>
  <si>
    <t>125711</t>
  </si>
  <si>
    <t>D 20.677.192-Z, модель/артикул 42511, кол-во 10</t>
  </si>
  <si>
    <t>42511</t>
  </si>
  <si>
    <t>D 95.572.19.61, модель/артикул 797211, кол-во 10</t>
  </si>
  <si>
    <t>797211</t>
  </si>
  <si>
    <t>D 95.572.78, модель/артикул 369211, кол-во 20</t>
  </si>
  <si>
    <t>369211</t>
  </si>
  <si>
    <t>D 20.486.702 LS, модель/артикул 179951, кол-во 2</t>
  </si>
  <si>
    <t>179951</t>
  </si>
  <si>
    <t>D 20.410.022 BM, модель/артикул 29313, кол-во 1</t>
  </si>
  <si>
    <t>29313</t>
  </si>
  <si>
    <t>Optical connecting cord, модель/артикул 2SM-3.0-SCU-SCU-1, кол-во 48</t>
  </si>
  <si>
    <t>2SM-3.0-SCU-SCU-1</t>
  </si>
  <si>
    <t>D 20.574.64 T, модель/артикул 174411, кол-во 10</t>
  </si>
  <si>
    <t>174411</t>
  </si>
  <si>
    <t>D 95.575.02, модель/артикул 820511, кол-во 12</t>
  </si>
  <si>
    <t>820511</t>
  </si>
  <si>
    <t>D 95.610.03 TAE NA, модель/артикул 824611, кол-во 10</t>
  </si>
  <si>
    <t>824611</t>
  </si>
  <si>
    <t>D 515, модель/артикул 190511, кол-во 10</t>
  </si>
  <si>
    <t>190511</t>
  </si>
  <si>
    <t>D 20.540.022 GLK, модель/артикул 23511, кол-во 20</t>
  </si>
  <si>
    <t>23511</t>
  </si>
  <si>
    <t>10NM 24V MODULATING SR DCA, модель/артикул S10010, кол-во 1</t>
  </si>
  <si>
    <t>S10010</t>
  </si>
  <si>
    <t>D 20.530.192, модель/артикул 37011, кол-во 10</t>
  </si>
  <si>
    <t>37011</t>
  </si>
  <si>
    <t>D 95.610/2.70 KEY, модель/артикул 336011, кол-во 6</t>
  </si>
  <si>
    <t>336011</t>
  </si>
  <si>
    <t>RRC adapter, 400x200mm, модель/артикул 36299-RU, кол-во 2</t>
  </si>
  <si>
    <t>36299-RU</t>
  </si>
  <si>
    <t>D 20.610.022 UAE/2 NA, модель/артикул 29011, кол-во 10</t>
  </si>
  <si>
    <t>29011</t>
  </si>
  <si>
    <t>D 95.610.02 TV NA, модель/артикул 815611, кол-во 17</t>
  </si>
  <si>
    <t>815611</t>
  </si>
  <si>
    <t>T-coupler, 100x80mm, модель/артикул 36142-RU, кол-во 3</t>
  </si>
  <si>
    <t>36142-RU</t>
  </si>
  <si>
    <t>D 95.6511.26 K, модель/артикул 775611, кол-во 4</t>
  </si>
  <si>
    <t>775611</t>
  </si>
  <si>
    <t>D 701 DO F, модель/артикул 604411, кол-во 30</t>
  </si>
  <si>
    <t>604411</t>
  </si>
  <si>
    <t>D 95.540.02 GLK, модель/артикул 821811, кол-во 10</t>
  </si>
  <si>
    <t>821811</t>
  </si>
  <si>
    <t>D 95.610.02 UAE/2-N, модель/артикул 787511, кол-во 9</t>
  </si>
  <si>
    <t>787511</t>
  </si>
  <si>
    <t>D 95.571.02, модель/артикул 820111, кол-во 14</t>
  </si>
  <si>
    <t>820111</t>
  </si>
  <si>
    <t>D 20.610.022 AT, модель/артикул 27711, кол-во 5</t>
  </si>
  <si>
    <t>27711</t>
  </si>
  <si>
    <t>D 95.610.03 USB SPV, модель/артикул 239053, кол-во 10</t>
  </si>
  <si>
    <t>239053</t>
  </si>
  <si>
    <t>Horizontal angle, 400x80mm, модель/артикул 36026-RU, кол-во 2</t>
  </si>
  <si>
    <t>36026-RU</t>
  </si>
  <si>
    <t>D 95.610.26 TV NA, модель/артикул 777911, кол-во 7</t>
  </si>
  <si>
    <t>777911</t>
  </si>
  <si>
    <t>D 771.02, модель/артикул 603111, кол-во 31</t>
  </si>
  <si>
    <t>603111</t>
  </si>
  <si>
    <t>OUTDOOR AIR PT1000, IP65, модель/артикул AF00-B65, кол-во 2</t>
  </si>
  <si>
    <t>AF00-B65</t>
  </si>
  <si>
    <t>D 550, модель/артикул 193111, кол-во 6</t>
  </si>
  <si>
    <t>193111</t>
  </si>
  <si>
    <t>D 95.610.02 TAE NA, модель/артикул 815511, кол-во 5</t>
  </si>
  <si>
    <t>815511</t>
  </si>
  <si>
    <t>D 95.573.03.61, модель/артикул 788311, кол-во 2</t>
  </si>
  <si>
    <t>788311</t>
  </si>
  <si>
    <t>Flexible corrugated pipe (в метрах), модель/артикул 91940-RU, кол-во 100</t>
  </si>
  <si>
    <t>91940-RU</t>
  </si>
  <si>
    <t>D 20.244.02 JR, модель/артикул 158811, кол-во 10</t>
  </si>
  <si>
    <t>158811</t>
  </si>
  <si>
    <t>D 20.540.192 GLK, модель/артикул 38511, кол-во 10</t>
  </si>
  <si>
    <t>38511</t>
  </si>
  <si>
    <t>Предохранитель плавкий, Fuse, 2A, модель/артикул FUSE-2A-5X20-RU, кол-во 30</t>
  </si>
  <si>
    <t>FUSE-2A-5X20-RU</t>
  </si>
  <si>
    <t>Предохранитель плавкий, Fuse, 6.3A, модель/артикул FUSE-6.3A-5X20, кол-во 30</t>
  </si>
  <si>
    <t>FUSE-6.3A-5X20</t>
  </si>
  <si>
    <t>Crossover coupler, 200x80mm, модель/артикул 36204-RU, кол-во 1</t>
  </si>
  <si>
    <t>36204-RU</t>
  </si>
  <si>
    <t>D 95.810.70 HR, модель/артикул 311513, кол-во 2</t>
  </si>
  <si>
    <t>311513</t>
  </si>
  <si>
    <t>D 95.810.02 HR, модель/артикул 816713, кол-во 4</t>
  </si>
  <si>
    <t>816713</t>
  </si>
  <si>
    <t>Optical box, модель/артикул FO-WBI-12A-GY, кол-во 1</t>
  </si>
  <si>
    <t>FO-WBI-12A-GY</t>
  </si>
  <si>
    <t>Optical connecting cord, модель/артикул 2SM-3.0-SCU-SCU-15, кол-во 8</t>
  </si>
  <si>
    <t>2SM-3.0-SCU-SCU-15</t>
  </si>
  <si>
    <t>D 20.610.21 TV, модель/артикул 125711, кол-во 4</t>
  </si>
  <si>
    <t>D 95.540.03 GLK, модель/артикул 830811, кол-во 6</t>
  </si>
  <si>
    <t>830811</t>
  </si>
  <si>
    <t>D 95.610.03 UAE/1-N, модель/артикул 786711, кол-во 6</t>
  </si>
  <si>
    <t>786711</t>
  </si>
  <si>
    <t>Pigtale, модель/артикул FP1B-LCUL-01H, кол-во 4</t>
  </si>
  <si>
    <t>FP1B-LCUL-01H</t>
  </si>
  <si>
    <t>Relay connector, модель/артикул CR-M4LC, кол-во 2</t>
  </si>
  <si>
    <t>CR-M4LC</t>
  </si>
  <si>
    <t>Mount for Cisco, модель/артикул SNR-RMB-1UC, кол-во 6</t>
  </si>
  <si>
    <t>SNR-RMB-1UC</t>
  </si>
  <si>
    <t>Предохранитель плавкий, Fuse, 0.5A, модель/артикул FUSE-0.5A-5X20, кол-во 24</t>
  </si>
  <si>
    <t>FUSE-0.5A-5X20</t>
  </si>
  <si>
    <t>D 95.610.03 UAE/1-N, модель/артикул 786711, кол-во 5</t>
  </si>
  <si>
    <t>D 95.610.03 KTU, модель/артикул 885811, кол-во 8</t>
  </si>
  <si>
    <t>885811</t>
  </si>
  <si>
    <t>Screw with square headrest, M6x10, модель/артикул CM010610, кол-во 400</t>
  </si>
  <si>
    <t>CM010610</t>
  </si>
  <si>
    <t>Optical cord 0.9mm, 1.5m, модель/артикул SM-0.9-SC-UPC-1.5, кол-во 48</t>
  </si>
  <si>
    <t>SM-0.9-SC-UPC-1.5</t>
  </si>
  <si>
    <t>Nut with us, hinder. unscrewing M6, модель/артикул CM100600-RU, кол-во 400</t>
  </si>
  <si>
    <t>CM100600-RU</t>
  </si>
  <si>
    <t>Relay, модель/артикул CR-M024DC2, кол-во 2</t>
  </si>
  <si>
    <t>CR-M024DC2</t>
  </si>
  <si>
    <t>POWER SUPPLY IN:100-240V OUT:24VDC 1.3A, модель/артикул DCPSU-24-1.3, кол-во 1</t>
  </si>
  <si>
    <t>DCPSU-24-1.3</t>
  </si>
  <si>
    <t>D 95.572.19, модель/артикул 846811, кол-во 2</t>
  </si>
  <si>
    <t>846811</t>
  </si>
  <si>
    <t>D 95.244.02 T, модель/артикул 887111, кол-во 2</t>
  </si>
  <si>
    <t>887111</t>
  </si>
  <si>
    <t>D 95.610.26 UAE/2-N, модель/артикул 778311, кол-во 1</t>
  </si>
  <si>
    <t>778311</t>
  </si>
  <si>
    <t>D 95.610.02 KTU, модель/артикул 885711, кол-во 2</t>
  </si>
  <si>
    <t>885711</t>
  </si>
  <si>
    <t>Optical feed-through adapter, модель/артикул CAB-010-SC-SM, кол-во 48</t>
  </si>
  <si>
    <t>CAB-010-SC-SM</t>
  </si>
  <si>
    <t>Plug, модель/артикул RIC-F-BLNK-01, кол-во 1</t>
  </si>
  <si>
    <t>RIC-F-BLNK-01</t>
  </si>
  <si>
    <t>Термоусадочная гильза, thermoliner, модель/артикул KZDS, кол-во 48</t>
  </si>
  <si>
    <t>KZDS</t>
  </si>
  <si>
    <t>Protective diode, модель/артикул CR-P/M42, кол-во 2</t>
  </si>
  <si>
    <t>CR-P/M42</t>
  </si>
  <si>
    <t>Clamp for fixing the relay, модель/артикул CR-MH, кол-во 2</t>
  </si>
  <si>
    <t>CR-MH</t>
  </si>
  <si>
    <t>ATR1-CONNECTING CABLE-2POL, модель/артикул 280870645, кол-во 6</t>
  </si>
  <si>
    <t>280870645</t>
  </si>
  <si>
    <t>D 20.672.022 T, модель/артикул 00020211, кол-во 20</t>
  </si>
  <si>
    <t>00020211</t>
  </si>
  <si>
    <t>Converter, модель/артикул LUX 24, кол-во 4</t>
  </si>
  <si>
    <t>LUX</t>
  </si>
  <si>
    <t>Транспондер пожарный esserbus transponder IQ8FCT XS</t>
  </si>
  <si>
    <t>Esserbus transponder IQ8FCT XS</t>
  </si>
  <si>
    <t>Извещатель Optical smoke detector</t>
  </si>
  <si>
    <t>Комбинированный извещатель O²T multisensor detector</t>
  </si>
  <si>
    <t>Spare glass pane f. small MCP</t>
  </si>
  <si>
    <t>PROFI-O Smoke detector</t>
  </si>
  <si>
    <t>Индикатор выносной REMOTE INDICATOR</t>
  </si>
  <si>
    <t>Heavy weight drawer with</t>
  </si>
  <si>
    <t>Digital Call Station DCS Plus e54-16</t>
  </si>
  <si>
    <t>База извещателя Standard detector base for</t>
  </si>
  <si>
    <t>Esserbus transponder 12 relays</t>
  </si>
  <si>
    <t>CN80 HOME BASE</t>
  </si>
  <si>
    <t>iq8fct lp</t>
  </si>
  <si>
    <t>Loop card esserbus/esserbus-PL</t>
  </si>
  <si>
    <t>Display and operating unit w.</t>
  </si>
  <si>
    <t>Heavy weight drawer f. power</t>
  </si>
  <si>
    <t>Зарядное устройство для ТСД Home Base with EU power cord</t>
  </si>
  <si>
    <t>Loop LED remote ind. panel</t>
  </si>
  <si>
    <t>PW-5000 TILE MOUNT REMOTE ENCLOSURE EU V</t>
  </si>
  <si>
    <t>EARMUFF-LEIGHTNING L3H EU</t>
  </si>
  <si>
    <t>SURFACE OUTSTATION TYPE B</t>
  </si>
  <si>
    <t>SBEACON-RED-RED LENS-FF</t>
  </si>
  <si>
    <t>Power supply-QUINT4-PS/1AC/24DC/20/+</t>
  </si>
  <si>
    <t>EARMUFF-LEIGHTNING L1H</t>
  </si>
  <si>
    <t>FACP FlexES Control FX18/18</t>
  </si>
  <si>
    <t>IP RUG DOM 4MP H.265 TDN 2.7-13.5MM IP66</t>
  </si>
  <si>
    <t>Power supply extension</t>
  </si>
  <si>
    <t>Leo Smoke-Heat Detector</t>
  </si>
  <si>
    <t>ASD SOCKET UNION 25MM PK10</t>
  </si>
  <si>
    <t>Mounting adapter 10x for (10 pcs)</t>
  </si>
  <si>
    <t>Камера видеонаблюдения</t>
  </si>
  <si>
    <t>ACCESS BEAM CONV/L REFLECTOR 75M-100M</t>
  </si>
  <si>
    <t>Network card essernet module</t>
  </si>
  <si>
    <t>Наушники противошумные EARMUFF-LEIGHTNG L1H HV Hi-Vis</t>
  </si>
  <si>
    <t>304L CORDED EARPLUG 1CS=500PAIRS</t>
  </si>
  <si>
    <t>Bus transponder IQ8FCT LP</t>
  </si>
  <si>
    <t>SPERIAN Titan 2-Point Harness W/Belt</t>
  </si>
  <si>
    <t>EARMUFF-LEIGHTNG L1H HV Hi-Vis</t>
  </si>
  <si>
    <t>SPERIAN TITAN 1Point Harness W/Belt</t>
  </si>
  <si>
    <t>RECESS MOUNT KIT FOR DETECTORS - IVORY</t>
  </si>
  <si>
    <t>MASTER HANDSET DESK MOUNTED</t>
  </si>
  <si>
    <t>5 x IP65 DEEP BASE-RED</t>
  </si>
  <si>
    <t>Label plate detector base (PAC of 10)</t>
  </si>
  <si>
    <t>6 W Cabinet loudspeaker</t>
  </si>
  <si>
    <t>Digital Call Station DCS Plus</t>
  </si>
  <si>
    <t>LED panel 65UL3J-E</t>
  </si>
  <si>
    <t>BS 420G2. AUTRONICA FIRE AND SECURITY AS.</t>
  </si>
  <si>
    <t>FlexES additional housing</t>
  </si>
  <si>
    <t>6 W Ceiling loudspeaker</t>
  </si>
  <si>
    <t>MCP-PRO-M Conventional</t>
  </si>
  <si>
    <t>Cable duct</t>
  </si>
  <si>
    <t>Монтажный корпус ANALOGUE I/FACE DET S/S I/FACE MON BOX</t>
  </si>
  <si>
    <t>Оптический кабель Cable</t>
  </si>
  <si>
    <t>Монитор</t>
  </si>
  <si>
    <t>NS 35/15 WH PERF 2000MM</t>
  </si>
  <si>
    <t>300GB 15K RPM SAS 12Gbps Hard Drive</t>
  </si>
  <si>
    <t>Принтер</t>
  </si>
  <si>
    <t>Cable</t>
  </si>
  <si>
    <t>303L FOAMPLUG - 2000 PR/CS</t>
  </si>
  <si>
    <t>Cable channel</t>
  </si>
  <si>
    <t>5 x SHALLOW BASE - RED</t>
  </si>
  <si>
    <t>Battery extension housing for</t>
  </si>
  <si>
    <t>Системный блок Компьютер</t>
  </si>
  <si>
    <t>Ноутбук</t>
  </si>
  <si>
    <t>WEID 1631930000 SCHT 5S PA66 BG</t>
  </si>
  <si>
    <t>Док-станция</t>
  </si>
  <si>
    <t>WTR4 DISCONNECT TERMINAL NO STB</t>
  </si>
  <si>
    <t>Optical wire SC-SCDuplex9/125 5m</t>
  </si>
  <si>
    <t>Perforated DIN rail</t>
  </si>
  <si>
    <t>Displayport to dvi -d</t>
  </si>
  <si>
    <t>WAP 2.5-10 END PLATE</t>
  </si>
  <si>
    <t>Optical wire SC-SCDuplex9/125 2m</t>
  </si>
  <si>
    <t>Зарядное устройство</t>
  </si>
  <si>
    <t>Металлические крепления</t>
  </si>
  <si>
    <t>Optical wire SC-SCDuplex9/125 1m</t>
  </si>
  <si>
    <t>Лампа</t>
  </si>
  <si>
    <t>Сканер</t>
  </si>
  <si>
    <t>Телефон</t>
  </si>
  <si>
    <t>Свитч</t>
  </si>
  <si>
    <t>CORDED EARPLUG 1CS=500PAIRS</t>
  </si>
  <si>
    <t>Шкаф серверный</t>
  </si>
  <si>
    <t>Loudspeaker</t>
  </si>
  <si>
    <t>BACNET MS/TP HVAC CONTROLLER</t>
  </si>
  <si>
    <t>Панель удаленных модулей C300 Panel</t>
  </si>
  <si>
    <t>GASALERT SERIES IR CONNECTIVITY KIT</t>
  </si>
  <si>
    <t>XNX CU-TR M25 ALU CAT HT REL</t>
  </si>
  <si>
    <t>FTA-C300-16DI-F-SLIM-G3-S</t>
  </si>
  <si>
    <t>ASD1/V2-COMPLETE</t>
  </si>
  <si>
    <t>COMB GAS VALVE 230V</t>
  </si>
  <si>
    <t>DAMPER ACTUATOR 5NM 24V 0-10V</t>
  </si>
  <si>
    <t>PSU 52Ah for MB-Secure</t>
  </si>
  <si>
    <t>1800N CORELLA 230V</t>
  </si>
  <si>
    <t>Настенный датчик температуры 20 K DIGITAL WALL MODULE</t>
  </si>
  <si>
    <t>Digital Input Module</t>
  </si>
  <si>
    <t>WKS PC DELL R7920XL RAID1 RACK</t>
  </si>
  <si>
    <t>MANUAL ASPIRATOR PUMP FOR</t>
  </si>
  <si>
    <t>ELECTRIC LINEAR VALVE ACTUATOR</t>
  </si>
  <si>
    <t>NXL HVAC INVERTER: 15KW/400V/31A/IP54</t>
  </si>
  <si>
    <t>COMB GAS VALVE 3/4 220/240V</t>
  </si>
  <si>
    <t>3-WAY VALVE PN6 DN40 KVS25</t>
  </si>
  <si>
    <t>DIGITAL OUTPUT MODUL</t>
  </si>
  <si>
    <t>Ball-and-socket joint for wall mounting</t>
  </si>
  <si>
    <t>10 W Cabinet loudspeaker</t>
  </si>
  <si>
    <t>ELECTRONICAL PRESSURE TRANSMITTER</t>
  </si>
  <si>
    <t>Корпус настенной установки ANALOGUE I/FACE DET MODULE S/FACE BOX</t>
  </si>
  <si>
    <t>2-WAY VALVE PN16 DN40 KVS25</t>
  </si>
  <si>
    <t>NXL HVAC INVERTER: 22KW/400V/46A/IP54</t>
  </si>
  <si>
    <t>3-WAY VALVE PN6 DN100 KVS140</t>
  </si>
  <si>
    <t>EARMUFF LEIGHTNING L1N NECKBND</t>
  </si>
  <si>
    <t>CENTRIC BUTTERFLY VALVE DN200</t>
  </si>
  <si>
    <t>3-WAY VALVE PN16 DN100 KVS160</t>
  </si>
  <si>
    <t>MINI PEEPER TUBE</t>
  </si>
  <si>
    <t>REDUCER 316 ST STL M25(M) TO M20(F)</t>
  </si>
  <si>
    <t>DAMPER ACTUATOR 5NM 24V FLOATING</t>
  </si>
  <si>
    <t>COMBI VALVE DN50 360MBAR IP54 230V PG11</t>
  </si>
  <si>
    <t>2-WAY VALVE PN16 DN15 KVS1</t>
  </si>
  <si>
    <t>3-WAY VALVE PN6 DN125 KVS220</t>
  </si>
  <si>
    <t>NXL HVAC INVERTER: 11KW/400V/23A/IP54</t>
  </si>
  <si>
    <t>3-WAY VALVE PN6 DN80 KVS100</t>
  </si>
  <si>
    <t>2-WAY VALVE PN16 DN80 KVS100</t>
  </si>
  <si>
    <t>Power supply 640мА SV/S30.640.5.1</t>
  </si>
  <si>
    <t>DOME IP M/PIXEL INT D/N 720P 3.3-12mm</t>
  </si>
  <si>
    <t>3-WAY VALVE PN16 DN150 KVS360</t>
  </si>
  <si>
    <t>WKS PC HP Z4 G4 RAID1 TOWER</t>
  </si>
  <si>
    <t>1000 DUAL NIC PCIe</t>
  </si>
  <si>
    <t>luminAXS mifareD readerRS485/c-d/W wo kb</t>
  </si>
  <si>
    <t>D 20.672.222.702</t>
  </si>
  <si>
    <t>D 20.672.201.022</t>
  </si>
  <si>
    <t>PT1000 ROOM SENSOR</t>
  </si>
  <si>
    <t>DN125 MBV DI Body Disk Matl Epoxy coated</t>
  </si>
  <si>
    <t>PD-C360i/8 KNX UP</t>
  </si>
  <si>
    <t>COMBI VALVE DN40 360MBAR IP54 230V PG11</t>
  </si>
  <si>
    <t>PCD3 PROCESSOR UNIT</t>
  </si>
  <si>
    <t>D 20.6511.21</t>
  </si>
  <si>
    <t>D 20.671.201.022</t>
  </si>
  <si>
    <t>4DG/2OP module BUS-2/BUS-1 s.m.</t>
  </si>
  <si>
    <t>3-WAY VALVES PN16 DN50 KVS 40 FEMALE</t>
  </si>
  <si>
    <t>D 20.6511.70</t>
  </si>
  <si>
    <t>MODUTROL MOTOR (EUROPEAN)</t>
  </si>
  <si>
    <t>DAMPER ACTUATOR 10NM 24V 0 TO 10V</t>
  </si>
  <si>
    <t>ANALOG OUTPUT MODULE (LON)</t>
  </si>
  <si>
    <t>2.5 «HDD 600 GB SAS 10K</t>
  </si>
  <si>
    <t>Quick-Pack panel</t>
  </si>
  <si>
    <t>3-WAY VALVE PN16 DN40 KVS25</t>
  </si>
  <si>
    <t>Chassis</t>
  </si>
  <si>
    <t>2-WAY VALVES PN16 DN15 KVS0.63</t>
  </si>
  <si>
    <t>6 RELAYS WITH OVERRIDE (LON)</t>
  </si>
  <si>
    <t>D 20.485.64 RADIO</t>
  </si>
  <si>
    <t>D 20.672.243.022</t>
  </si>
  <si>
    <t>D 20.673.201.702</t>
  </si>
  <si>
    <t>3.5 «HDD 600 GB SATA</t>
  </si>
  <si>
    <t>D 20.673.223.192</t>
  </si>
  <si>
    <t>VALVE ACT.2POS./FLOAT.24V VAC</t>
  </si>
  <si>
    <t>D 95.6511.02 SI</t>
  </si>
  <si>
    <t>3-WAY VALVE PN16 DN32 KVS16</t>
  </si>
  <si>
    <t>FROST PROTECTION THERMOSTAT 6M MANUAL</t>
  </si>
  <si>
    <t>Optical rack</t>
  </si>
  <si>
    <t>2-WAY VALVE PN16 DN20 KVS4</t>
  </si>
  <si>
    <t>D 20.672.192 T</t>
  </si>
  <si>
    <t>D 20.671.222.022</t>
  </si>
  <si>
    <t>Sensor of Overhead presence</t>
  </si>
  <si>
    <t>DAMPER ACTUATOR 5NM 230V 2-POS</t>
  </si>
  <si>
    <t>COMBI VALVE DN50 360MBAR IP65 230V DIN</t>
  </si>
  <si>
    <t>Ip-interface IPS/S3.1.1</t>
  </si>
  <si>
    <t>D 20.671.240.192</t>
  </si>
  <si>
    <t>D 20.673.222.192</t>
  </si>
  <si>
    <t>D 95.571.70.60</t>
  </si>
  <si>
    <t>D 1930/4.02 O.A.</t>
  </si>
  <si>
    <t>D 95.540.70</t>
  </si>
  <si>
    <t>D 20.545.02</t>
  </si>
  <si>
    <t>3-WAY VALVES PN16 DN20 KVS 6.3 FEMALE</t>
  </si>
  <si>
    <t>D 20.545.702</t>
  </si>
  <si>
    <t>Media converter</t>
  </si>
  <si>
    <t>ACT.DIRECT SPR.RET.230V</t>
  </si>
  <si>
    <t>Видеокарта NVIDIA Quadro</t>
  </si>
  <si>
    <t>D 20.6511.02 OKS</t>
  </si>
  <si>
    <t>D 95.6511.26</t>
  </si>
  <si>
    <t>EXTERNAL THREAD WITH NBR O-RING</t>
  </si>
  <si>
    <t>50004263-001 230-120-24/24V TRANSFORMER</t>
  </si>
  <si>
    <t>D 20.671.223.192</t>
  </si>
  <si>
    <t>MOXA MGATE MODBUS GATEWAY</t>
  </si>
  <si>
    <t>2-WAY VALVES PN16 DN15 KVS 1.0</t>
  </si>
  <si>
    <t>D 20.574.02 T</t>
  </si>
  <si>
    <t>D 20.673.244.192</t>
  </si>
  <si>
    <t>D 20.674.201.702</t>
  </si>
  <si>
    <t>DAMPER ACTUATOR 34NM 24V FLOATING</t>
  </si>
  <si>
    <t>D 20.674.221.192</t>
  </si>
  <si>
    <t>D 20.572.51.70</t>
  </si>
  <si>
    <t>Cable organazer</t>
  </si>
  <si>
    <t>Presence sensor PD-ATMO360i/8 T KNX</t>
  </si>
  <si>
    <t>D 20.572.150.21</t>
  </si>
  <si>
    <t>DAMPER ACTUATOR</t>
  </si>
  <si>
    <t>D 20.571.02 T</t>
  </si>
  <si>
    <t>UNIVERSAL ANALOGUE INPUT MODULE</t>
  </si>
  <si>
    <t>D 20.674.220.192</t>
  </si>
  <si>
    <t>10NM 24V MODULATING SR DCA</t>
  </si>
  <si>
    <t>DAMPER ACTUATOR 5NM 24V 3-PKT SCHALTER</t>
  </si>
  <si>
    <t>D 95.572.70.60</t>
  </si>
  <si>
    <t>Power Distribution FTA</t>
  </si>
  <si>
    <t>Splice box</t>
  </si>
  <si>
    <t>D 20.671.243.022</t>
  </si>
  <si>
    <t>Power Supply</t>
  </si>
  <si>
    <t>3WV PN16 DN20 KVS4.0 ON-OFF</t>
  </si>
  <si>
    <t>D 20.674.240.192</t>
  </si>
  <si>
    <t>DAMPER ACTUATOR 34NM 230V FLOATING</t>
  </si>
  <si>
    <t>DTI6 DP SENSOR 0-6BAR 10-30VDC 4-20MA</t>
  </si>
  <si>
    <t>D 20.610.70 TV</t>
  </si>
  <si>
    <t>D 95.571.78</t>
  </si>
  <si>
    <t>D 20.534.702</t>
  </si>
  <si>
    <t>D 20.534.022</t>
  </si>
  <si>
    <t>D 20.545.21</t>
  </si>
  <si>
    <t>D 20.607.022 FTR</t>
  </si>
  <si>
    <t>Power supply 230 VAC / 24 VDC</t>
  </si>
  <si>
    <t>D 433 HAB O.A</t>
  </si>
  <si>
    <t>D 95.572.03</t>
  </si>
  <si>
    <t>T-coupler 400x80mm</t>
  </si>
  <si>
    <t>D 20.674.242.702</t>
  </si>
  <si>
    <t>D 20.675.022 T</t>
  </si>
  <si>
    <t>Four unit rack mounting bracket for MC p</t>
  </si>
  <si>
    <t>D 20.677.702-Z</t>
  </si>
  <si>
    <t>D 20.571.64 T</t>
  </si>
  <si>
    <t>D 20.545.192</t>
  </si>
  <si>
    <t>D 20.645.21</t>
  </si>
  <si>
    <t>Патч-корд волоконно-оптический (шнур) Hyperline FC-D2-50-SC/PR-SC/PR-H-20M-LSZ</t>
  </si>
  <si>
    <t>D 20.810.70 HR</t>
  </si>
  <si>
    <t>D 20.673.022 W MP3</t>
  </si>
  <si>
    <t>D 20.674.222.022</t>
  </si>
  <si>
    <t>D 20.671.192 T</t>
  </si>
  <si>
    <t>Optical cross</t>
  </si>
  <si>
    <t>D 95.610.03 UAE/2-N</t>
  </si>
  <si>
    <t>D 20.674.220.702</t>
  </si>
  <si>
    <t>Electronic fuse</t>
  </si>
  <si>
    <t>D 20.610.21 TV</t>
  </si>
  <si>
    <t>D 20.677.192-Z</t>
  </si>
  <si>
    <t>D 95.572.19.61</t>
  </si>
  <si>
    <t>D 95.572.78</t>
  </si>
  <si>
    <t>D 20.486.702 LS</t>
  </si>
  <si>
    <t>D 20.410.022 BM</t>
  </si>
  <si>
    <t>Optical connecting cord</t>
  </si>
  <si>
    <t>D 20.574.64 T</t>
  </si>
  <si>
    <t>D 95.575.02</t>
  </si>
  <si>
    <t>D 95.610.03 TAE NA</t>
  </si>
  <si>
    <t>D 515</t>
  </si>
  <si>
    <t>D 20.540.022 GLK</t>
  </si>
  <si>
    <t>D 20.530.192</t>
  </si>
  <si>
    <t>D 95.610/2.70 KEY</t>
  </si>
  <si>
    <t>D 20.610.022 UAE/2 NA</t>
  </si>
  <si>
    <t>D 95.610.02 TV NA</t>
  </si>
  <si>
    <t>D 95.6511.26 K</t>
  </si>
  <si>
    <t>D 701 DO F</t>
  </si>
  <si>
    <t>D 95.540.02 GLK</t>
  </si>
  <si>
    <t>D 95.610.02 UAE/2-N</t>
  </si>
  <si>
    <t>D 95.571.02</t>
  </si>
  <si>
    <t>D 20.610.022 AT</t>
  </si>
  <si>
    <t>D 95.610.03 USB SPV</t>
  </si>
  <si>
    <t>D 95.610.26 TV NA</t>
  </si>
  <si>
    <t>D 771.02</t>
  </si>
  <si>
    <t>D 550</t>
  </si>
  <si>
    <t>D 95.610.02 TAE NA</t>
  </si>
  <si>
    <t>D 95.573.03.61</t>
  </si>
  <si>
    <t>Flexible corrugated pipe (в метрах)</t>
  </si>
  <si>
    <t>D 20.244.02 JR</t>
  </si>
  <si>
    <t>D 20.540.192 GLK</t>
  </si>
  <si>
    <t>D 95.810.70 HR</t>
  </si>
  <si>
    <t>D 95.810.02 HR</t>
  </si>
  <si>
    <t>Optical box</t>
  </si>
  <si>
    <t>D 95.540.03 GLK</t>
  </si>
  <si>
    <t>D 95.610.03 UAE/1-N</t>
  </si>
  <si>
    <t>Pigtale</t>
  </si>
  <si>
    <t>Relay connector</t>
  </si>
  <si>
    <t>Mount for Cisco</t>
  </si>
  <si>
    <t>D 95.610.03 KTU</t>
  </si>
  <si>
    <t>Relay</t>
  </si>
  <si>
    <t>POWER SUPPLY IN:100-240V OUT:24VDC 1.3A</t>
  </si>
  <si>
    <t>D 95.572.19</t>
  </si>
  <si>
    <t>D 95.244.02 T</t>
  </si>
  <si>
    <t>D 95.610.26 UAE/2-N</t>
  </si>
  <si>
    <t>D 95.610.02 KTU</t>
  </si>
  <si>
    <t>Optical feed-through adapter</t>
  </si>
  <si>
    <t>Plug</t>
  </si>
  <si>
    <t>Protective diode</t>
  </si>
  <si>
    <t>Clamp for fixing the relay</t>
  </si>
  <si>
    <t>ATR1-CONNECTING CABLE-2POL</t>
  </si>
  <si>
    <t>D 20.672.022 T</t>
  </si>
  <si>
    <t>Converter</t>
  </si>
  <si>
    <t xml:space="preserve"> 808606</t>
  </si>
  <si>
    <t>1220</t>
  </si>
  <si>
    <t>1210</t>
  </si>
  <si>
    <t xml:space="preserve"> 802371</t>
  </si>
  <si>
    <t>1199</t>
  </si>
  <si>
    <t>1027</t>
  </si>
  <si>
    <t>762</t>
  </si>
  <si>
    <t xml:space="preserve"> 802374</t>
  </si>
  <si>
    <t>727</t>
  </si>
  <si>
    <t xml:space="preserve"> 704960</t>
  </si>
  <si>
    <t>1440</t>
  </si>
  <si>
    <t xml:space="preserve"> PROFI-O</t>
  </si>
  <si>
    <t>1203</t>
  </si>
  <si>
    <t xml:space="preserve"> RA100Z</t>
  </si>
  <si>
    <t>800</t>
  </si>
  <si>
    <t>1163</t>
  </si>
  <si>
    <t xml:space="preserve"> FX808430.18R</t>
  </si>
  <si>
    <t>13</t>
  </si>
  <si>
    <t xml:space="preserve"> 583520</t>
  </si>
  <si>
    <t>19</t>
  </si>
  <si>
    <t>Amplifier 4XD500, Version 1.1</t>
  </si>
  <si>
    <t xml:space="preserve"> 580249.11</t>
  </si>
  <si>
    <t>6</t>
  </si>
  <si>
    <t xml:space="preserve"> 805590</t>
  </si>
  <si>
    <t>2227</t>
  </si>
  <si>
    <t xml:space="preserve"> 808610.10</t>
  </si>
  <si>
    <t>74</t>
  </si>
  <si>
    <t xml:space="preserve"> CN80-HB-CNV-0</t>
  </si>
  <si>
    <t>55</t>
  </si>
  <si>
    <t xml:space="preserve"> 808621</t>
  </si>
  <si>
    <t>101</t>
  </si>
  <si>
    <t xml:space="preserve"> FX808332</t>
  </si>
  <si>
    <t>MP COMPACT 4 MOBILE 203 DPI, DC</t>
  </si>
  <si>
    <t xml:space="preserve"> XJ1-00-07000000</t>
  </si>
  <si>
    <t>5</t>
  </si>
  <si>
    <t>KIT, PLATEN ROLLER-KA10</t>
  </si>
  <si>
    <t xml:space="preserve"> ROL15-2761-04</t>
  </si>
  <si>
    <t>218</t>
  </si>
  <si>
    <t xml:space="preserve"> FX808324</t>
  </si>
  <si>
    <t>11</t>
  </si>
  <si>
    <t>4MP WDR IP Outdoor Dome IR,2.7~13.5mm MF</t>
  </si>
  <si>
    <t xml:space="preserve"> H4W4GR1Y</t>
  </si>
  <si>
    <t>15</t>
  </si>
  <si>
    <t xml:space="preserve"> FX808431</t>
  </si>
  <si>
    <t xml:space="preserve"> EDA61K-HB-2</t>
  </si>
  <si>
    <t>100</t>
  </si>
  <si>
    <t xml:space="preserve"> 804791</t>
  </si>
  <si>
    <t>28</t>
  </si>
  <si>
    <t xml:space="preserve"> PW5K1ENC3E</t>
  </si>
  <si>
    <t xml:space="preserve"> 1012541</t>
  </si>
  <si>
    <t>200</t>
  </si>
  <si>
    <t>9</t>
  </si>
  <si>
    <t>1000</t>
  </si>
  <si>
    <t xml:space="preserve"> EVCS-HSB</t>
  </si>
  <si>
    <t>54</t>
  </si>
  <si>
    <t xml:space="preserve"> CWSS-RB-S8</t>
  </si>
  <si>
    <t>192</t>
  </si>
  <si>
    <t>2</t>
  </si>
  <si>
    <t xml:space="preserve"> 2904617</t>
  </si>
  <si>
    <t>16</t>
  </si>
  <si>
    <t xml:space="preserve"> 1012539</t>
  </si>
  <si>
    <t>405</t>
  </si>
  <si>
    <t xml:space="preserve"> FX808397</t>
  </si>
  <si>
    <t>1</t>
  </si>
  <si>
    <t>18</t>
  </si>
  <si>
    <t>360</t>
  </si>
  <si>
    <t xml:space="preserve"> H4W4PER2</t>
  </si>
  <si>
    <t>30</t>
  </si>
  <si>
    <t>MULTIDOCK, CHARGE ONLY CK3, AD22</t>
  </si>
  <si>
    <t xml:space="preserve"> 871-229-201</t>
  </si>
  <si>
    <t xml:space="preserve"> FX808363</t>
  </si>
  <si>
    <t xml:space="preserve"> LEONARDO-OT</t>
  </si>
  <si>
    <t>500</t>
  </si>
  <si>
    <t>650</t>
  </si>
  <si>
    <t xml:space="preserve"> PIP-003</t>
  </si>
  <si>
    <t>170</t>
  </si>
  <si>
    <t xml:space="preserve"> 805577</t>
  </si>
  <si>
    <t>199</t>
  </si>
  <si>
    <t xml:space="preserve"> h4l6gr2</t>
  </si>
  <si>
    <t xml:space="preserve"> 6500-LRK</t>
  </si>
  <si>
    <t>41</t>
  </si>
  <si>
    <t xml:space="preserve"> FX808341</t>
  </si>
  <si>
    <t xml:space="preserve"> 1015021</t>
  </si>
  <si>
    <t>332</t>
  </si>
  <si>
    <t>61</t>
  </si>
  <si>
    <t xml:space="preserve"> 1000106</t>
  </si>
  <si>
    <t xml:space="preserve"> 1011894-RU</t>
  </si>
  <si>
    <t>127</t>
  </si>
  <si>
    <t>268</t>
  </si>
  <si>
    <t xml:space="preserve"> 1011893-RU</t>
  </si>
  <si>
    <t>135</t>
  </si>
  <si>
    <t xml:space="preserve"> RMK400AP-IV</t>
  </si>
  <si>
    <t>942</t>
  </si>
  <si>
    <t>3</t>
  </si>
  <si>
    <t xml:space="preserve"> EVCS-MS</t>
  </si>
  <si>
    <t>Пистолетная рукоять для ТСД KIT, SH, EDA61K</t>
  </si>
  <si>
    <t xml:space="preserve"> EDA61K-SH-DC</t>
  </si>
  <si>
    <t>25</t>
  </si>
  <si>
    <t xml:space="preserve"> FX808364</t>
  </si>
  <si>
    <t>INWL01c, MODULE, WLAN, 802.11 B,G,N,BT</t>
  </si>
  <si>
    <t xml:space="preserve"> 203-183-420</t>
  </si>
  <si>
    <t>IQ8MCP electronic module, 85319000</t>
  </si>
  <si>
    <t xml:space="preserve"> 804905</t>
  </si>
  <si>
    <t xml:space="preserve"> CWR</t>
  </si>
  <si>
    <t>78</t>
  </si>
  <si>
    <t xml:space="preserve"> 805576</t>
  </si>
  <si>
    <t>76</t>
  </si>
  <si>
    <t>4</t>
  </si>
  <si>
    <t>179</t>
  </si>
  <si>
    <t>176</t>
  </si>
  <si>
    <t>STRAALH.COMMMK2, BISON., STAND.</t>
  </si>
  <si>
    <t xml:space="preserve"> A133230-00</t>
  </si>
  <si>
    <t xml:space="preserve"> 581270</t>
  </si>
  <si>
    <t>57</t>
  </si>
  <si>
    <t xml:space="preserve"> 65UL3J</t>
  </si>
  <si>
    <t xml:space="preserve"> bs-420g2</t>
  </si>
  <si>
    <t xml:space="preserve"> FX808338</t>
  </si>
  <si>
    <t>10</t>
  </si>
  <si>
    <t xml:space="preserve"> 581263</t>
  </si>
  <si>
    <t>85</t>
  </si>
  <si>
    <t xml:space="preserve"> MCP-PRO-M</t>
  </si>
  <si>
    <t>150</t>
  </si>
  <si>
    <t xml:space="preserve"> 3240348</t>
  </si>
  <si>
    <t>22</t>
  </si>
  <si>
    <t xml:space="preserve"> SMB500</t>
  </si>
  <si>
    <t>373</t>
  </si>
  <si>
    <t xml:space="preserve"> 3240357</t>
  </si>
  <si>
    <t>50</t>
  </si>
  <si>
    <t>29</t>
  </si>
  <si>
    <t xml:space="preserve"> CABLE-0.22-8T</t>
  </si>
  <si>
    <t>1600</t>
  </si>
  <si>
    <t xml:space="preserve"> p2213t</t>
  </si>
  <si>
    <t>7</t>
  </si>
  <si>
    <t>DIGITAL MULTI-AUDIO PLAYER, BLUETOOTH</t>
  </si>
  <si>
    <t xml:space="preserve"> X-MAP4P</t>
  </si>
  <si>
    <t>Service drawer, 1 HU</t>
  </si>
  <si>
    <t xml:space="preserve"> FX808439</t>
  </si>
  <si>
    <t xml:space="preserve"> 806602</t>
  </si>
  <si>
    <t>Industrial Media Converter, SM, SC</t>
  </si>
  <si>
    <t xml:space="preserve"> IMC-101-S-SC</t>
  </si>
  <si>
    <t xml:space="preserve"> 400-ATII</t>
  </si>
  <si>
    <t>Housing surface-mount, gray</t>
  </si>
  <si>
    <t xml:space="preserve"> 788600</t>
  </si>
  <si>
    <t>44</t>
  </si>
  <si>
    <t xml:space="preserve"> 3240190</t>
  </si>
  <si>
    <t>20</t>
  </si>
  <si>
    <t>303S-YEL/WHT,200PR REFILL</t>
  </si>
  <si>
    <t xml:space="preserve"> 1006187</t>
  </si>
  <si>
    <t xml:space="preserve"> 3240199</t>
  </si>
  <si>
    <t xml:space="preserve"> cb015a</t>
  </si>
  <si>
    <t xml:space="preserve"> 3240248</t>
  </si>
  <si>
    <t>8</t>
  </si>
  <si>
    <t xml:space="preserve"> SCDUPLEX9/125-15</t>
  </si>
  <si>
    <t>32</t>
  </si>
  <si>
    <t xml:space="preserve"> 1006186</t>
  </si>
  <si>
    <t xml:space="preserve"> 3240197</t>
  </si>
  <si>
    <t xml:space="preserve"> CSR</t>
  </si>
  <si>
    <t xml:space="preserve"> 3240197-RU</t>
  </si>
  <si>
    <t xml:space="preserve"> p2210f</t>
  </si>
  <si>
    <t xml:space="preserve"> FX808313</t>
  </si>
  <si>
    <t xml:space="preserve"> u2421m</t>
  </si>
  <si>
    <t xml:space="preserve"> p2217h</t>
  </si>
  <si>
    <t xml:space="preserve"> pp11l</t>
  </si>
  <si>
    <t xml:space="preserve"> 1631930000</t>
  </si>
  <si>
    <t xml:space="preserve"> p2421d</t>
  </si>
  <si>
    <t xml:space="preserve"> u2412m</t>
  </si>
  <si>
    <t xml:space="preserve"> wd19dcs</t>
  </si>
  <si>
    <t xml:space="preserve"> 3240605</t>
  </si>
  <si>
    <t xml:space="preserve"> p2422h</t>
  </si>
  <si>
    <t>Input cable DOM-amp. 0,5m green</t>
  </si>
  <si>
    <t xml:space="preserve"> 583491A</t>
  </si>
  <si>
    <t xml:space="preserve"> 7910180000</t>
  </si>
  <si>
    <t xml:space="preserve"> SC-SCDUPLEX9/125-5</t>
  </si>
  <si>
    <t>Weidmuller WEW 35/2, End Bracket, beige</t>
  </si>
  <si>
    <t xml:space="preserve"> 1061200000</t>
  </si>
  <si>
    <t xml:space="preserve"> cf274a</t>
  </si>
  <si>
    <t xml:space="preserve"> u2412mb</t>
  </si>
  <si>
    <t xml:space="preserve"> kcd2090xi</t>
  </si>
  <si>
    <t xml:space="preserve"> fh973a</t>
  </si>
  <si>
    <t xml:space="preserve"> p2212hb</t>
  </si>
  <si>
    <t xml:space="preserve"> u2410f</t>
  </si>
  <si>
    <t xml:space="preserve"> SCDUPLEX9/125-10</t>
  </si>
  <si>
    <t xml:space="preserve"> 1050000000</t>
  </si>
  <si>
    <t xml:space="preserve"> SC-SCDUPLEX9/125-2</t>
  </si>
  <si>
    <t xml:space="preserve"> p2213f</t>
  </si>
  <si>
    <t xml:space="preserve"> 240w</t>
  </si>
  <si>
    <t xml:space="preserve"> LA5496411314</t>
  </si>
  <si>
    <t xml:space="preserve"> 2208wfpt</t>
  </si>
  <si>
    <t xml:space="preserve"> SC-SCDUPLEX9/125-1</t>
  </si>
  <si>
    <t xml:space="preserve"> sdm-s93</t>
  </si>
  <si>
    <t xml:space="preserve"> sk8115</t>
  </si>
  <si>
    <t xml:space="preserve"> kd-050 c03</t>
  </si>
  <si>
    <t xml:space="preserve"> optiplex 790</t>
  </si>
  <si>
    <t xml:space="preserve"> precithion t1700</t>
  </si>
  <si>
    <t xml:space="preserve"> lcd 2080i</t>
  </si>
  <si>
    <t xml:space="preserve"> phaser 3250</t>
  </si>
  <si>
    <t xml:space="preserve"> perthection v100 photo</t>
  </si>
  <si>
    <t xml:space="preserve"> optiplex 7020</t>
  </si>
  <si>
    <t xml:space="preserve"> ip phone 7942</t>
  </si>
  <si>
    <t>17</t>
  </si>
  <si>
    <t xml:space="preserve"> precition t3500</t>
  </si>
  <si>
    <t xml:space="preserve"> latitude e 6420</t>
  </si>
  <si>
    <t xml:space="preserve"> pavilion dv5</t>
  </si>
  <si>
    <t xml:space="preserve"> catalist 2960</t>
  </si>
  <si>
    <t xml:space="preserve"> glatron 24eb23py</t>
  </si>
  <si>
    <t xml:space="preserve"> precision t1700</t>
  </si>
  <si>
    <t xml:space="preserve"> optiplex 990</t>
  </si>
  <si>
    <t xml:space="preserve"> метров обрезки силового кабеля 2.5мм</t>
  </si>
  <si>
    <t xml:space="preserve"> Color LaserJet Pro White A4 Printer M454DN</t>
  </si>
  <si>
    <t xml:space="preserve"> 304L 1000106</t>
  </si>
  <si>
    <t xml:space="preserve"> HBL6GR2 4.1</t>
  </si>
  <si>
    <t xml:space="preserve"> easy rack sr 24 he 584900 800x1300x800</t>
  </si>
  <si>
    <t xml:space="preserve"> l-vom40a/en (1020902004</t>
  </si>
  <si>
    <t>BWC4 - O2, LEL, H2S, CO, Yellow, RU</t>
  </si>
  <si>
    <t xml:space="preserve"> BWC4-Y-R</t>
  </si>
  <si>
    <t>290</t>
  </si>
  <si>
    <t xml:space="preserve"> CPO-RL4</t>
  </si>
  <si>
    <t>1139</t>
  </si>
  <si>
    <t xml:space="preserve"> PANC300-03</t>
  </si>
  <si>
    <t xml:space="preserve"> PANC300-04</t>
  </si>
  <si>
    <t xml:space="preserve"> 129625-L3</t>
  </si>
  <si>
    <t>48</t>
  </si>
  <si>
    <t xml:space="preserve"> XNX-RMAV-RNNNN</t>
  </si>
  <si>
    <t xml:space="preserve"> 7508001858</t>
  </si>
  <si>
    <t>53</t>
  </si>
  <si>
    <t xml:space="preserve"> 280869341</t>
  </si>
  <si>
    <t>86</t>
  </si>
  <si>
    <t xml:space="preserve"> VR420VA1004-0000</t>
  </si>
  <si>
    <t xml:space="preserve"> N05010</t>
  </si>
  <si>
    <t>118</t>
  </si>
  <si>
    <t xml:space="preserve"> 13960</t>
  </si>
  <si>
    <t xml:space="preserve"> 7508001857</t>
  </si>
  <si>
    <t xml:space="preserve"> ML6421A3013</t>
  </si>
  <si>
    <t xml:space="preserve"> T7560B1008</t>
  </si>
  <si>
    <t>43</t>
  </si>
  <si>
    <t xml:space="preserve"> TPPR-V-1040</t>
  </si>
  <si>
    <t xml:space="preserve"> MZ-PCWS77</t>
  </si>
  <si>
    <t xml:space="preserve"> 121679-L3</t>
  </si>
  <si>
    <t>45</t>
  </si>
  <si>
    <t xml:space="preserve"> ML6420A3072</t>
  </si>
  <si>
    <t xml:space="preserve"> HVAC31C5</t>
  </si>
  <si>
    <t xml:space="preserve"> VR420AB1002-0000</t>
  </si>
  <si>
    <t xml:space="preserve"> V5329C1059</t>
  </si>
  <si>
    <t xml:space="preserve"> PCD2.A200</t>
  </si>
  <si>
    <t>33</t>
  </si>
  <si>
    <t xml:space="preserve"> 033588.17</t>
  </si>
  <si>
    <t>175</t>
  </si>
  <si>
    <t>Exting. control panel 8010, RU,</t>
  </si>
  <si>
    <t xml:space="preserve"> 788013.40.RU</t>
  </si>
  <si>
    <t xml:space="preserve"> 581276</t>
  </si>
  <si>
    <t>39</t>
  </si>
  <si>
    <t xml:space="preserve"> PTSRB0101V3</t>
  </si>
  <si>
    <t xml:space="preserve"> M200E-SMB</t>
  </si>
  <si>
    <t>600</t>
  </si>
  <si>
    <t xml:space="preserve"> V5328A1088</t>
  </si>
  <si>
    <t>DIGITAL WALL MODULE, BLUE/WHITE, C</t>
  </si>
  <si>
    <t xml:space="preserve"> T7560A1000</t>
  </si>
  <si>
    <t>35</t>
  </si>
  <si>
    <t xml:space="preserve"> HVAC46C5</t>
  </si>
  <si>
    <t>STRAP-ON SENSOR PT1000, IP54</t>
  </si>
  <si>
    <t xml:space="preserve"> SF00-B54</t>
  </si>
  <si>
    <t xml:space="preserve"> V5015A1151</t>
  </si>
  <si>
    <t xml:space="preserve"> 1011994</t>
  </si>
  <si>
    <t>240</t>
  </si>
  <si>
    <t xml:space="preserve"> V5421B1090</t>
  </si>
  <si>
    <t xml:space="preserve"> V5050A1090</t>
  </si>
  <si>
    <t xml:space="preserve"> 129464N/U</t>
  </si>
  <si>
    <t>186</t>
  </si>
  <si>
    <t xml:space="preserve"> RDU300504</t>
  </si>
  <si>
    <t>116</t>
  </si>
  <si>
    <t xml:space="preserve"> N0524</t>
  </si>
  <si>
    <t xml:space="preserve"> VQ450MB1006</t>
  </si>
  <si>
    <t>2-WAY VALVE PN16 DN15 KVS1,6</t>
  </si>
  <si>
    <t xml:space="preserve"> V5328A1013</t>
  </si>
  <si>
    <t xml:space="preserve"> V5015A1169</t>
  </si>
  <si>
    <t xml:space="preserve"> TPPR-V-1030</t>
  </si>
  <si>
    <t>351</t>
  </si>
  <si>
    <t xml:space="preserve"> HVAC23C5</t>
  </si>
  <si>
    <t xml:space="preserve"> V5329C1083</t>
  </si>
  <si>
    <t xml:space="preserve"> V5016A1135</t>
  </si>
  <si>
    <t xml:space="preserve"> 2CDG110146R0011</t>
  </si>
  <si>
    <t xml:space="preserve"> H3D1F1X</t>
  </si>
  <si>
    <t>144</t>
  </si>
  <si>
    <t xml:space="preserve"> V5050A1116</t>
  </si>
  <si>
    <t xml:space="preserve"> MZ-PCWS84</t>
  </si>
  <si>
    <t>WALL MULTI-SENSOR, T-H-CO2-PM2.5-TVOC</t>
  </si>
  <si>
    <t xml:space="preserve"> C7355A1050</t>
  </si>
  <si>
    <t xml:space="preserve"> NE-NICS02</t>
  </si>
  <si>
    <t xml:space="preserve"> 027913.10</t>
  </si>
  <si>
    <t xml:space="preserve"> 187091</t>
  </si>
  <si>
    <t xml:space="preserve"> 185891</t>
  </si>
  <si>
    <t xml:space="preserve"> T7460A1018</t>
  </si>
  <si>
    <t xml:space="preserve"> BF-HWC4-PN16-0125</t>
  </si>
  <si>
    <t>DUCT SENSOR NTC20K, IP65, 300MM, 5M</t>
  </si>
  <si>
    <t xml:space="preserve"> LF20-3P65-5M</t>
  </si>
  <si>
    <t xml:space="preserve"> EP10427404</t>
  </si>
  <si>
    <t>DIGITAL WALL MODULE, WHITE/WHITE,RH, C</t>
  </si>
  <si>
    <t xml:space="preserve"> T7560B1024</t>
  </si>
  <si>
    <t xml:space="preserve"> VQ440MB1005</t>
  </si>
  <si>
    <t xml:space="preserve"> PCD3.M3360</t>
  </si>
  <si>
    <t xml:space="preserve"> 127411</t>
  </si>
  <si>
    <t xml:space="preserve"> 183791</t>
  </si>
  <si>
    <t>40</t>
  </si>
  <si>
    <t xml:space="preserve"> 010130.10</t>
  </si>
  <si>
    <t xml:space="preserve"> V5013R1099</t>
  </si>
  <si>
    <t xml:space="preserve"> 155111</t>
  </si>
  <si>
    <t>Rod sensor, Pt1000, 300mm, IP65, no well</t>
  </si>
  <si>
    <t xml:space="preserve"> VF00-3B65NW</t>
  </si>
  <si>
    <t xml:space="preserve"> V5016A1101</t>
  </si>
  <si>
    <t xml:space="preserve"> M7294Q1015/U</t>
  </si>
  <si>
    <t xml:space="preserve"> N10010</t>
  </si>
  <si>
    <t xml:space="preserve"> XFLR822A</t>
  </si>
  <si>
    <t xml:space="preserve"> 600GB-SAS2.5</t>
  </si>
  <si>
    <t xml:space="preserve"> RIC-F-LCU24-01C</t>
  </si>
  <si>
    <t xml:space="preserve"> V5329A1053</t>
  </si>
  <si>
    <t xml:space="preserve"> AT-MMCR18-60-RU</t>
  </si>
  <si>
    <t xml:space="preserve"> V5011R1000</t>
  </si>
  <si>
    <t xml:space="preserve"> XFLR824A</t>
  </si>
  <si>
    <t xml:space="preserve"> 174813</t>
  </si>
  <si>
    <t xml:space="preserve"> 187591</t>
  </si>
  <si>
    <t xml:space="preserve"> 188091</t>
  </si>
  <si>
    <t xml:space="preserve"> 600GB-SAS3.5</t>
  </si>
  <si>
    <t xml:space="preserve"> 189291</t>
  </si>
  <si>
    <t xml:space="preserve"> V5328A1112</t>
  </si>
  <si>
    <t xml:space="preserve"> ML6421A3005</t>
  </si>
  <si>
    <t xml:space="preserve"> 820611</t>
  </si>
  <si>
    <t>80</t>
  </si>
  <si>
    <t xml:space="preserve"> V5329A1046</t>
  </si>
  <si>
    <t xml:space="preserve"> FT6960-60</t>
  </si>
  <si>
    <t xml:space="preserve"> FCP3-RACK</t>
  </si>
  <si>
    <t xml:space="preserve"> V5328A1005</t>
  </si>
  <si>
    <t xml:space="preserve"> V5328A1047</t>
  </si>
  <si>
    <t xml:space="preserve"> 35211</t>
  </si>
  <si>
    <t>59</t>
  </si>
  <si>
    <t xml:space="preserve"> 184791</t>
  </si>
  <si>
    <t>21</t>
  </si>
  <si>
    <t xml:space="preserve"> EP10425882</t>
  </si>
  <si>
    <t xml:space="preserve"> N05230-2POS</t>
  </si>
  <si>
    <t xml:space="preserve"> VQ450MA1015</t>
  </si>
  <si>
    <t xml:space="preserve"> 2CDG110177R0011</t>
  </si>
  <si>
    <t xml:space="preserve"> 185191</t>
  </si>
  <si>
    <t>34</t>
  </si>
  <si>
    <t xml:space="preserve"> 189091</t>
  </si>
  <si>
    <t xml:space="preserve"> 773111</t>
  </si>
  <si>
    <t xml:space="preserve"> 902591</t>
  </si>
  <si>
    <t>26</t>
  </si>
  <si>
    <t xml:space="preserve"> 309811</t>
  </si>
  <si>
    <t>82</t>
  </si>
  <si>
    <t xml:space="preserve"> 104011</t>
  </si>
  <si>
    <t>92</t>
  </si>
  <si>
    <t>Датчик перепада давления DIFF.TRANSM. 3-WIRE, - 1000Pa/+1000Pa</t>
  </si>
  <si>
    <t xml:space="preserve"> DPTE1000S</t>
  </si>
  <si>
    <t xml:space="preserve"> V5013R1057</t>
  </si>
  <si>
    <t xml:space="preserve"> 54611</t>
  </si>
  <si>
    <t xml:space="preserve"> AT-MMC200LX</t>
  </si>
  <si>
    <t xml:space="preserve"> ML6425A3014</t>
  </si>
  <si>
    <t xml:space="preserve"> P400-RU</t>
  </si>
  <si>
    <t xml:space="preserve"> 106511</t>
  </si>
  <si>
    <t>104</t>
  </si>
  <si>
    <t xml:space="preserve"> 775511</t>
  </si>
  <si>
    <t xml:space="preserve"> MAU8/MS</t>
  </si>
  <si>
    <t xml:space="preserve"> 50017460-001/U</t>
  </si>
  <si>
    <t xml:space="preserve"> 185091</t>
  </si>
  <si>
    <t xml:space="preserve"> MB3480</t>
  </si>
  <si>
    <t xml:space="preserve"> V5832A1046</t>
  </si>
  <si>
    <t xml:space="preserve"> 171411</t>
  </si>
  <si>
    <t xml:space="preserve"> 189791</t>
  </si>
  <si>
    <t xml:space="preserve"> 190191</t>
  </si>
  <si>
    <t xml:space="preserve"> N3424</t>
  </si>
  <si>
    <t xml:space="preserve"> 191091</t>
  </si>
  <si>
    <t xml:space="preserve"> 101411</t>
  </si>
  <si>
    <t xml:space="preserve"> HCM-4-2U</t>
  </si>
  <si>
    <t xml:space="preserve"> EP10427213</t>
  </si>
  <si>
    <t xml:space="preserve"> 162211</t>
  </si>
  <si>
    <t xml:space="preserve"> S0324-2POS-SW1</t>
  </si>
  <si>
    <t xml:space="preserve"> 171111</t>
  </si>
  <si>
    <t>60</t>
  </si>
  <si>
    <t xml:space="preserve"> PCD3.W340</t>
  </si>
  <si>
    <t xml:space="preserve"> 190891</t>
  </si>
  <si>
    <t>3-WAY VALVE PN16 DN15 KVS2,5</t>
  </si>
  <si>
    <t xml:space="preserve"> V5329A1004</t>
  </si>
  <si>
    <t>10NM 24V MODULATING SR DCA, 2 SWITCHES</t>
  </si>
  <si>
    <t xml:space="preserve"> S10010-SW2</t>
  </si>
  <si>
    <t xml:space="preserve"> N0524-SW2</t>
  </si>
  <si>
    <t xml:space="preserve"> 773211</t>
  </si>
  <si>
    <t xml:space="preserve"> 7508002114</t>
  </si>
  <si>
    <t xml:space="preserve"> TRAY-3</t>
  </si>
  <si>
    <t>Horizontal angle, 100x80mm</t>
  </si>
  <si>
    <t xml:space="preserve"> 36022-RU</t>
  </si>
  <si>
    <t xml:space="preserve"> 185491</t>
  </si>
  <si>
    <t>14</t>
  </si>
  <si>
    <t xml:space="preserve"> S05230-2POS</t>
  </si>
  <si>
    <t xml:space="preserve"> F750E-S0</t>
  </si>
  <si>
    <t xml:space="preserve"> VSOF-320-4.0</t>
  </si>
  <si>
    <t>CABLE IMMERSION SENSOR PT1000, 2M</t>
  </si>
  <si>
    <t xml:space="preserve"> KTF00-65-2M</t>
  </si>
  <si>
    <t xml:space="preserve"> 191591</t>
  </si>
  <si>
    <t xml:space="preserve"> N34230</t>
  </si>
  <si>
    <t xml:space="preserve"> DTI6</t>
  </si>
  <si>
    <t>FLAME SWITCH, UV, 115/230VAC</t>
  </si>
  <si>
    <t xml:space="preserve"> R4343E1048-ST005</t>
  </si>
  <si>
    <t xml:space="preserve"> 153711</t>
  </si>
  <si>
    <t xml:space="preserve"> 369111</t>
  </si>
  <si>
    <t xml:space="preserve"> 52811</t>
  </si>
  <si>
    <t xml:space="preserve"> 22811</t>
  </si>
  <si>
    <t xml:space="preserve"> 105411</t>
  </si>
  <si>
    <t xml:space="preserve"> 940293</t>
  </si>
  <si>
    <t>Horizontal angle, 200x80mm</t>
  </si>
  <si>
    <t xml:space="preserve"> 36024-RU</t>
  </si>
  <si>
    <t xml:space="preserve"> PCD7.L500</t>
  </si>
  <si>
    <t>Предохранитель плавкий, Fuse, 20A</t>
  </si>
  <si>
    <t xml:space="preserve"> FUSE-20A-5X20</t>
  </si>
  <si>
    <t xml:space="preserve"> 210213</t>
  </si>
  <si>
    <t xml:space="preserve"> 829211</t>
  </si>
  <si>
    <t>62</t>
  </si>
  <si>
    <t xml:space="preserve"> 36146-RU</t>
  </si>
  <si>
    <t xml:space="preserve"> 191791</t>
  </si>
  <si>
    <t xml:space="preserve"> P600</t>
  </si>
  <si>
    <t>6pol Socket H07RN Cable 2,5mm» ... m</t>
  </si>
  <si>
    <t xml:space="preserve"> 272369098</t>
  </si>
  <si>
    <t>24</t>
  </si>
  <si>
    <t xml:space="preserve"> 20511</t>
  </si>
  <si>
    <t xml:space="preserve"> AT-TRAY4</t>
  </si>
  <si>
    <t>Crossover coupler, 400x80mm</t>
  </si>
  <si>
    <t xml:space="preserve"> 36206-RU</t>
  </si>
  <si>
    <t xml:space="preserve"> 57511</t>
  </si>
  <si>
    <t xml:space="preserve"> 174111</t>
  </si>
  <si>
    <t xml:space="preserve"> 39611</t>
  </si>
  <si>
    <t xml:space="preserve"> 109411</t>
  </si>
  <si>
    <t xml:space="preserve"> SC-SC</t>
  </si>
  <si>
    <t xml:space="preserve"> 157413</t>
  </si>
  <si>
    <t xml:space="preserve"> 179433</t>
  </si>
  <si>
    <t xml:space="preserve"> 191191</t>
  </si>
  <si>
    <t>T-coupler, 200x80mm</t>
  </si>
  <si>
    <t xml:space="preserve"> 36144-RU</t>
  </si>
  <si>
    <t xml:space="preserve"> 35111</t>
  </si>
  <si>
    <t xml:space="preserve"> NMF-RP16SCUS2-RU</t>
  </si>
  <si>
    <t xml:space="preserve"> 787411</t>
  </si>
  <si>
    <t xml:space="preserve"> 190991</t>
  </si>
  <si>
    <t xml:space="preserve"> D-71570</t>
  </si>
  <si>
    <t xml:space="preserve"> 125711</t>
  </si>
  <si>
    <t xml:space="preserve"> 42511</t>
  </si>
  <si>
    <t xml:space="preserve"> 797211</t>
  </si>
  <si>
    <t xml:space="preserve"> 369211</t>
  </si>
  <si>
    <t xml:space="preserve"> 179951</t>
  </si>
  <si>
    <t xml:space="preserve"> 29313</t>
  </si>
  <si>
    <t xml:space="preserve"> 2SM-3.0-SCU-SCU-1</t>
  </si>
  <si>
    <t xml:space="preserve"> 174411</t>
  </si>
  <si>
    <t xml:space="preserve"> 820511</t>
  </si>
  <si>
    <t>12</t>
  </si>
  <si>
    <t xml:space="preserve"> 824611</t>
  </si>
  <si>
    <t xml:space="preserve"> 190511</t>
  </si>
  <si>
    <t xml:space="preserve"> 23511</t>
  </si>
  <si>
    <t xml:space="preserve"> S10010</t>
  </si>
  <si>
    <t xml:space="preserve"> 37011</t>
  </si>
  <si>
    <t xml:space="preserve"> 336011</t>
  </si>
  <si>
    <t>RRC adapter, 400x200mm</t>
  </si>
  <si>
    <t xml:space="preserve"> 36299-RU</t>
  </si>
  <si>
    <t xml:space="preserve"> 29011</t>
  </si>
  <si>
    <t xml:space="preserve"> 815611</t>
  </si>
  <si>
    <t>T-coupler, 100x80mm</t>
  </si>
  <si>
    <t xml:space="preserve"> 36142-RU</t>
  </si>
  <si>
    <t xml:space="preserve"> 775611</t>
  </si>
  <si>
    <t xml:space="preserve"> 604411</t>
  </si>
  <si>
    <t xml:space="preserve"> 821811</t>
  </si>
  <si>
    <t xml:space="preserve"> 787511</t>
  </si>
  <si>
    <t xml:space="preserve"> 820111</t>
  </si>
  <si>
    <t xml:space="preserve"> 27711</t>
  </si>
  <si>
    <t xml:space="preserve"> 239053</t>
  </si>
  <si>
    <t>Horizontal angle, 400x80mm</t>
  </si>
  <si>
    <t xml:space="preserve"> 36026-RU</t>
  </si>
  <si>
    <t xml:space="preserve"> 777911</t>
  </si>
  <si>
    <t xml:space="preserve"> 603111</t>
  </si>
  <si>
    <t>31</t>
  </si>
  <si>
    <t>OUTDOOR AIR PT1000, IP65</t>
  </si>
  <si>
    <t xml:space="preserve"> AF00-B65</t>
  </si>
  <si>
    <t xml:space="preserve"> 193111</t>
  </si>
  <si>
    <t xml:space="preserve"> 815511</t>
  </si>
  <si>
    <t xml:space="preserve"> 788311</t>
  </si>
  <si>
    <t xml:space="preserve"> 91940-RU</t>
  </si>
  <si>
    <t xml:space="preserve"> 158811</t>
  </si>
  <si>
    <t xml:space="preserve"> 38511</t>
  </si>
  <si>
    <t>Предохранитель плавкий, Fuse, 2A</t>
  </si>
  <si>
    <t xml:space="preserve"> FUSE-2A-5X20-RU</t>
  </si>
  <si>
    <t>Предохранитель плавкий, Fuse, 6.3A</t>
  </si>
  <si>
    <t xml:space="preserve"> FUSE-6.3A-5X20</t>
  </si>
  <si>
    <t>Crossover coupler, 200x80mm</t>
  </si>
  <si>
    <t xml:space="preserve"> 36204-RU</t>
  </si>
  <si>
    <t xml:space="preserve"> 311513</t>
  </si>
  <si>
    <t xml:space="preserve"> 816713</t>
  </si>
  <si>
    <t xml:space="preserve"> FO-WBI-12A-GY</t>
  </si>
  <si>
    <t xml:space="preserve"> 2SM-3.0-SCU-SCU-15</t>
  </si>
  <si>
    <t xml:space="preserve"> 830811</t>
  </si>
  <si>
    <t xml:space="preserve"> 786711</t>
  </si>
  <si>
    <t xml:space="preserve"> FP1B-LCUL-01H</t>
  </si>
  <si>
    <t xml:space="preserve"> CR-M4LC</t>
  </si>
  <si>
    <t xml:space="preserve"> SNR-RMB-1UC</t>
  </si>
  <si>
    <t>Предохранитель плавкий, Fuse, 0.5A</t>
  </si>
  <si>
    <t xml:space="preserve"> FUSE-0.5A-5X20</t>
  </si>
  <si>
    <t xml:space="preserve"> 885811</t>
  </si>
  <si>
    <t>Screw with square headrest, M6x10</t>
  </si>
  <si>
    <t xml:space="preserve"> CM010610</t>
  </si>
  <si>
    <t>400</t>
  </si>
  <si>
    <t>Optical cord 0.9mm, 1.5m</t>
  </si>
  <si>
    <t xml:space="preserve"> SM-0.9-SC-UPC-1.5</t>
  </si>
  <si>
    <t>Nut with us, hinder. unscrewing M6</t>
  </si>
  <si>
    <t xml:space="preserve"> CM100600-RU</t>
  </si>
  <si>
    <t xml:space="preserve"> CR-M024DC2</t>
  </si>
  <si>
    <t xml:space="preserve"> DCPSU-24-1.3</t>
  </si>
  <si>
    <t xml:space="preserve"> 846811</t>
  </si>
  <si>
    <t xml:space="preserve"> 887111</t>
  </si>
  <si>
    <t xml:space="preserve"> 778311</t>
  </si>
  <si>
    <t xml:space="preserve"> 885711</t>
  </si>
  <si>
    <t xml:space="preserve"> CAB-010-SC-SM</t>
  </si>
  <si>
    <t xml:space="preserve"> RIC-F-BLNK-01</t>
  </si>
  <si>
    <t>Термоусадочная гильза, thermoliner</t>
  </si>
  <si>
    <t xml:space="preserve"> KZDS</t>
  </si>
  <si>
    <t xml:space="preserve"> CR-P/M42</t>
  </si>
  <si>
    <t xml:space="preserve"> CR-MH</t>
  </si>
  <si>
    <t xml:space="preserve"> 280870645</t>
  </si>
  <si>
    <t xml:space="preserve"> 00020211</t>
  </si>
  <si>
    <t xml:space="preserve"> LUX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</si>
</sst>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workbookViewId="0">
      <selection activeCell="A4" sqref="A4"/>
    </sheetView>
  </sheetViews>
  <sheetFormatPr defaultRowHeight="14.5" x14ac:dyDescent="0.35"/>
  <cols>
    <col min="1" max="1" width="60.90625" customWidth="1"/>
  </cols>
  <sheetData>
    <row r="1" spans="1:6" x14ac:dyDescent="0.35">
      <c r="A1" s="1" t="s">
        <v>743</v>
      </c>
      <c r="B1" s="1" t="s">
        <v>744</v>
      </c>
      <c r="C1" s="1" t="s">
        <v>745</v>
      </c>
      <c r="D1" s="1" t="s">
        <v>746</v>
      </c>
      <c r="E1" s="1" t="s">
        <v>747</v>
      </c>
      <c r="F1" s="1" t="s">
        <v>748</v>
      </c>
    </row>
    <row r="2" spans="1:6" x14ac:dyDescent="0.35">
      <c r="A2" t="s">
        <v>749</v>
      </c>
      <c r="B2" t="s">
        <v>750</v>
      </c>
      <c r="C2">
        <v>1</v>
      </c>
      <c r="D2" t="s">
        <v>5</v>
      </c>
      <c r="E2">
        <v>10636957</v>
      </c>
      <c r="F2">
        <v>10636957</v>
      </c>
    </row>
    <row r="3" spans="1:6" x14ac:dyDescent="0.35">
      <c r="A3" t="s">
        <v>751</v>
      </c>
      <c r="B3" t="s">
        <v>752</v>
      </c>
      <c r="C3">
        <v>1</v>
      </c>
      <c r="D3" t="s">
        <v>2</v>
      </c>
      <c r="E3">
        <v>10045252</v>
      </c>
      <c r="F3">
        <v>10045252</v>
      </c>
    </row>
    <row r="4" spans="1:6" x14ac:dyDescent="0.35">
      <c r="A4" t="s">
        <v>751</v>
      </c>
      <c r="B4" t="s">
        <v>752</v>
      </c>
      <c r="C4">
        <v>1</v>
      </c>
      <c r="D4" t="s">
        <v>2</v>
      </c>
      <c r="E4">
        <v>10045252</v>
      </c>
      <c r="F4">
        <v>10045252</v>
      </c>
    </row>
    <row r="5" spans="1:6" x14ac:dyDescent="0.35">
      <c r="A5" t="s">
        <v>753</v>
      </c>
      <c r="B5" t="s">
        <v>754</v>
      </c>
      <c r="C5">
        <v>1</v>
      </c>
      <c r="D5" t="s">
        <v>5</v>
      </c>
      <c r="E5">
        <v>8303826</v>
      </c>
      <c r="F5">
        <v>8303826</v>
      </c>
    </row>
    <row r="6" spans="1:6" x14ac:dyDescent="0.35">
      <c r="A6" t="s">
        <v>755</v>
      </c>
      <c r="B6" t="s">
        <v>756</v>
      </c>
      <c r="C6">
        <v>1</v>
      </c>
      <c r="D6" t="s">
        <v>5</v>
      </c>
      <c r="E6">
        <v>7171222</v>
      </c>
      <c r="F6">
        <v>7171222</v>
      </c>
    </row>
    <row r="7" spans="1:6" x14ac:dyDescent="0.35">
      <c r="A7" t="s">
        <v>757</v>
      </c>
      <c r="B7" t="s">
        <v>758</v>
      </c>
      <c r="C7">
        <v>1</v>
      </c>
      <c r="D7" t="s">
        <v>5</v>
      </c>
      <c r="E7">
        <v>6462061</v>
      </c>
      <c r="F7">
        <v>6462061</v>
      </c>
    </row>
    <row r="8" spans="1:6" x14ac:dyDescent="0.35">
      <c r="A8" t="s">
        <v>759</v>
      </c>
      <c r="B8" t="s">
        <v>760</v>
      </c>
      <c r="C8">
        <v>1</v>
      </c>
      <c r="D8" t="s">
        <v>2</v>
      </c>
      <c r="E8">
        <v>5682098</v>
      </c>
      <c r="F8">
        <v>5682098</v>
      </c>
    </row>
    <row r="9" spans="1:6" x14ac:dyDescent="0.35">
      <c r="A9" t="s">
        <v>761</v>
      </c>
      <c r="B9" t="s">
        <v>762</v>
      </c>
      <c r="C9">
        <v>1</v>
      </c>
      <c r="D9" t="s">
        <v>5</v>
      </c>
      <c r="E9">
        <v>3886297</v>
      </c>
      <c r="F9">
        <v>3886297</v>
      </c>
    </row>
    <row r="10" spans="1:6" x14ac:dyDescent="0.35">
      <c r="A10" t="s">
        <v>763</v>
      </c>
      <c r="B10" t="s">
        <v>764</v>
      </c>
      <c r="C10">
        <v>1</v>
      </c>
      <c r="D10" t="s">
        <v>5</v>
      </c>
      <c r="E10">
        <v>3886297</v>
      </c>
      <c r="F10">
        <v>3886297</v>
      </c>
    </row>
    <row r="11" spans="1:6" x14ac:dyDescent="0.35">
      <c r="A11" t="s">
        <v>765</v>
      </c>
      <c r="B11" t="s">
        <v>766</v>
      </c>
      <c r="C11">
        <v>60</v>
      </c>
      <c r="D11" t="s">
        <v>2</v>
      </c>
      <c r="E11">
        <v>35199.119617224882</v>
      </c>
      <c r="F11">
        <v>2111947.1770334928</v>
      </c>
    </row>
    <row r="12" spans="1:6" x14ac:dyDescent="0.35">
      <c r="A12" t="s">
        <v>767</v>
      </c>
      <c r="B12" t="s">
        <v>768</v>
      </c>
      <c r="C12">
        <v>3</v>
      </c>
      <c r="D12" t="s">
        <v>2</v>
      </c>
      <c r="E12">
        <v>577471.6470588235</v>
      </c>
      <c r="F12">
        <v>1732414.9411764699</v>
      </c>
    </row>
    <row r="13" spans="1:6" x14ac:dyDescent="0.35">
      <c r="A13" t="s">
        <v>767</v>
      </c>
      <c r="B13" t="s">
        <v>768</v>
      </c>
      <c r="C13">
        <v>3</v>
      </c>
      <c r="D13" t="s">
        <v>2</v>
      </c>
      <c r="E13">
        <v>577471.6470588235</v>
      </c>
      <c r="F13">
        <v>1732414.9411764699</v>
      </c>
    </row>
    <row r="14" spans="1:6" x14ac:dyDescent="0.35">
      <c r="A14" t="s">
        <v>767</v>
      </c>
      <c r="B14" t="s">
        <v>768</v>
      </c>
      <c r="C14">
        <v>3</v>
      </c>
      <c r="D14" t="s">
        <v>2</v>
      </c>
      <c r="E14">
        <v>577471.6470588235</v>
      </c>
      <c r="F14">
        <v>1732414.9411764699</v>
      </c>
    </row>
    <row r="15" spans="1:6" x14ac:dyDescent="0.35">
      <c r="A15" t="s">
        <v>769</v>
      </c>
      <c r="B15" t="s">
        <v>770</v>
      </c>
      <c r="C15">
        <v>34</v>
      </c>
      <c r="D15" t="s">
        <v>5</v>
      </c>
      <c r="E15">
        <v>44565.911764705881</v>
      </c>
      <c r="F15">
        <v>1515241</v>
      </c>
    </row>
    <row r="16" spans="1:6" x14ac:dyDescent="0.35">
      <c r="A16" t="s">
        <v>771</v>
      </c>
      <c r="B16" t="s">
        <v>772</v>
      </c>
      <c r="C16">
        <v>40</v>
      </c>
      <c r="D16" t="s">
        <v>2</v>
      </c>
      <c r="E16">
        <v>33924.275000000001</v>
      </c>
      <c r="F16">
        <v>1356971</v>
      </c>
    </row>
    <row r="17" spans="1:6" x14ac:dyDescent="0.35">
      <c r="A17" t="s">
        <v>773</v>
      </c>
      <c r="B17" t="s">
        <v>768</v>
      </c>
      <c r="C17">
        <v>2</v>
      </c>
      <c r="D17" t="s">
        <v>2</v>
      </c>
      <c r="E17">
        <v>577471.6470588235</v>
      </c>
      <c r="F17">
        <v>1154943.294117647</v>
      </c>
    </row>
    <row r="18" spans="1:6" x14ac:dyDescent="0.35">
      <c r="A18" t="s">
        <v>774</v>
      </c>
      <c r="B18" t="s">
        <v>775</v>
      </c>
      <c r="C18">
        <v>75</v>
      </c>
      <c r="D18" t="s">
        <v>5</v>
      </c>
      <c r="E18">
        <v>13032.8</v>
      </c>
      <c r="F18">
        <v>977460</v>
      </c>
    </row>
    <row r="19" spans="1:6" x14ac:dyDescent="0.35">
      <c r="A19" t="s">
        <v>776</v>
      </c>
      <c r="B19" t="s">
        <v>777</v>
      </c>
      <c r="C19">
        <v>90</v>
      </c>
      <c r="D19" t="s">
        <v>5</v>
      </c>
      <c r="E19">
        <v>10476</v>
      </c>
      <c r="F19">
        <v>942840</v>
      </c>
    </row>
    <row r="20" spans="1:6" x14ac:dyDescent="0.35">
      <c r="A20" t="s">
        <v>778</v>
      </c>
      <c r="B20" t="s">
        <v>779</v>
      </c>
      <c r="C20">
        <v>4</v>
      </c>
      <c r="D20" t="s">
        <v>2</v>
      </c>
      <c r="E20">
        <v>189375.6</v>
      </c>
      <c r="F20">
        <v>757502.4</v>
      </c>
    </row>
    <row r="21" spans="1:6" x14ac:dyDescent="0.35">
      <c r="A21" t="s">
        <v>780</v>
      </c>
      <c r="B21" t="s">
        <v>781</v>
      </c>
      <c r="C21">
        <v>2</v>
      </c>
      <c r="D21" t="s">
        <v>2</v>
      </c>
      <c r="E21">
        <v>341565</v>
      </c>
      <c r="F21">
        <v>683130</v>
      </c>
    </row>
    <row r="22" spans="1:6" x14ac:dyDescent="0.35">
      <c r="A22" t="s">
        <v>782</v>
      </c>
      <c r="B22" t="s">
        <v>783</v>
      </c>
      <c r="C22">
        <v>64</v>
      </c>
      <c r="D22" t="s">
        <v>5</v>
      </c>
      <c r="E22">
        <v>8870</v>
      </c>
      <c r="F22">
        <v>567680</v>
      </c>
    </row>
    <row r="23" spans="1:6" x14ac:dyDescent="0.35">
      <c r="A23" t="s">
        <v>784</v>
      </c>
      <c r="B23" t="s">
        <v>785</v>
      </c>
      <c r="C23">
        <v>5</v>
      </c>
      <c r="D23" t="s">
        <v>2</v>
      </c>
      <c r="E23">
        <v>102708.27272727271</v>
      </c>
      <c r="F23">
        <v>513541.36363636359</v>
      </c>
    </row>
    <row r="24" spans="1:6" x14ac:dyDescent="0.35">
      <c r="A24" t="s">
        <v>786</v>
      </c>
      <c r="B24" t="s">
        <v>787</v>
      </c>
      <c r="C24">
        <v>7</v>
      </c>
      <c r="D24" t="s">
        <v>2</v>
      </c>
      <c r="E24">
        <v>66174.222222222219</v>
      </c>
      <c r="F24">
        <v>463219.5555555555</v>
      </c>
    </row>
    <row r="25" spans="1:6" x14ac:dyDescent="0.35">
      <c r="A25" t="s">
        <v>788</v>
      </c>
      <c r="B25" t="s">
        <v>169</v>
      </c>
      <c r="C25">
        <v>420</v>
      </c>
      <c r="D25" t="s">
        <v>5</v>
      </c>
      <c r="E25">
        <v>1056</v>
      </c>
      <c r="F25">
        <v>443520</v>
      </c>
    </row>
    <row r="26" spans="1:6" x14ac:dyDescent="0.35">
      <c r="A26" t="s">
        <v>789</v>
      </c>
      <c r="B26" t="s">
        <v>790</v>
      </c>
      <c r="C26">
        <v>100</v>
      </c>
      <c r="D26" t="s">
        <v>2</v>
      </c>
      <c r="E26">
        <v>3872</v>
      </c>
      <c r="F26">
        <v>387200</v>
      </c>
    </row>
    <row r="27" spans="1:6" x14ac:dyDescent="0.35">
      <c r="A27" t="s">
        <v>791</v>
      </c>
      <c r="B27" t="s">
        <v>792</v>
      </c>
      <c r="C27">
        <v>2</v>
      </c>
      <c r="D27" t="s">
        <v>2</v>
      </c>
      <c r="E27">
        <v>188344</v>
      </c>
      <c r="F27">
        <v>376688</v>
      </c>
    </row>
    <row r="28" spans="1:6" x14ac:dyDescent="0.35">
      <c r="A28" t="s">
        <v>793</v>
      </c>
      <c r="B28" t="s">
        <v>794</v>
      </c>
      <c r="C28">
        <v>18</v>
      </c>
      <c r="D28" t="s">
        <v>2</v>
      </c>
      <c r="E28">
        <v>19447.11814345992</v>
      </c>
      <c r="F28">
        <v>350048.12658227852</v>
      </c>
    </row>
    <row r="29" spans="1:6" x14ac:dyDescent="0.35">
      <c r="A29" t="s">
        <v>793</v>
      </c>
      <c r="B29" t="s">
        <v>794</v>
      </c>
      <c r="C29">
        <v>18</v>
      </c>
      <c r="D29" t="s">
        <v>2</v>
      </c>
      <c r="E29">
        <v>19447.11814345992</v>
      </c>
      <c r="F29">
        <v>350048.12658227852</v>
      </c>
    </row>
    <row r="30" spans="1:6" x14ac:dyDescent="0.35">
      <c r="A30" t="s">
        <v>795</v>
      </c>
      <c r="B30" t="s">
        <v>796</v>
      </c>
      <c r="C30">
        <v>1</v>
      </c>
      <c r="D30" t="s">
        <v>5</v>
      </c>
      <c r="E30">
        <v>309379</v>
      </c>
      <c r="F30">
        <v>309379</v>
      </c>
    </row>
    <row r="31" spans="1:6" x14ac:dyDescent="0.35">
      <c r="A31" t="s">
        <v>797</v>
      </c>
      <c r="B31" t="s">
        <v>798</v>
      </c>
      <c r="C31">
        <v>1</v>
      </c>
      <c r="D31" t="s">
        <v>2</v>
      </c>
      <c r="E31">
        <v>288716</v>
      </c>
      <c r="F31">
        <v>288716</v>
      </c>
    </row>
    <row r="32" spans="1:6" x14ac:dyDescent="0.35">
      <c r="A32" t="s">
        <v>799</v>
      </c>
      <c r="B32" t="s">
        <v>688</v>
      </c>
      <c r="C32">
        <v>171</v>
      </c>
      <c r="D32" t="s">
        <v>5</v>
      </c>
      <c r="E32">
        <v>1571.3988439306361</v>
      </c>
      <c r="F32">
        <v>268709.20231213869</v>
      </c>
    </row>
    <row r="33" spans="1:6" x14ac:dyDescent="0.35">
      <c r="A33" t="s">
        <v>800</v>
      </c>
      <c r="B33" t="s">
        <v>801</v>
      </c>
      <c r="C33">
        <v>6</v>
      </c>
      <c r="D33" t="s">
        <v>2</v>
      </c>
      <c r="E33">
        <v>39367</v>
      </c>
      <c r="F33">
        <v>236202</v>
      </c>
    </row>
    <row r="34" spans="1:6" x14ac:dyDescent="0.35">
      <c r="A34" t="s">
        <v>802</v>
      </c>
      <c r="B34" t="s">
        <v>803</v>
      </c>
      <c r="C34">
        <v>7</v>
      </c>
      <c r="D34" t="s">
        <v>2</v>
      </c>
      <c r="E34">
        <v>32620</v>
      </c>
      <c r="F34">
        <v>228340</v>
      </c>
    </row>
    <row r="35" spans="1:6" x14ac:dyDescent="0.35">
      <c r="A35" t="s">
        <v>804</v>
      </c>
      <c r="B35" t="s">
        <v>805</v>
      </c>
      <c r="C35">
        <v>1</v>
      </c>
      <c r="D35" t="s">
        <v>5</v>
      </c>
      <c r="E35">
        <v>202182</v>
      </c>
      <c r="F35">
        <v>202182</v>
      </c>
    </row>
    <row r="36" spans="1:6" x14ac:dyDescent="0.35">
      <c r="A36" t="s">
        <v>806</v>
      </c>
      <c r="B36" t="s">
        <v>807</v>
      </c>
      <c r="C36">
        <v>1</v>
      </c>
      <c r="D36" t="s">
        <v>2</v>
      </c>
      <c r="E36">
        <v>197128</v>
      </c>
      <c r="F36">
        <v>197128</v>
      </c>
    </row>
    <row r="37" spans="1:6" x14ac:dyDescent="0.35">
      <c r="A37" t="s">
        <v>808</v>
      </c>
      <c r="B37" t="s">
        <v>489</v>
      </c>
      <c r="C37">
        <v>200</v>
      </c>
      <c r="D37" t="s">
        <v>5</v>
      </c>
      <c r="E37">
        <v>935.43902439024396</v>
      </c>
      <c r="F37">
        <v>187087.8048780488</v>
      </c>
    </row>
    <row r="38" spans="1:6" x14ac:dyDescent="0.35">
      <c r="A38" t="s">
        <v>809</v>
      </c>
      <c r="B38" t="s">
        <v>810</v>
      </c>
      <c r="C38">
        <v>154</v>
      </c>
      <c r="D38" t="s">
        <v>2</v>
      </c>
      <c r="E38">
        <v>1162.8376623376621</v>
      </c>
      <c r="F38">
        <v>179077</v>
      </c>
    </row>
    <row r="39" spans="1:6" x14ac:dyDescent="0.35">
      <c r="A39" t="s">
        <v>811</v>
      </c>
      <c r="B39" t="s">
        <v>812</v>
      </c>
      <c r="C39">
        <v>38</v>
      </c>
      <c r="D39" t="s">
        <v>2</v>
      </c>
      <c r="E39">
        <v>4651.6744186046508</v>
      </c>
      <c r="F39">
        <v>176763.6279069767</v>
      </c>
    </row>
    <row r="40" spans="1:6" x14ac:dyDescent="0.35">
      <c r="A40" t="s">
        <v>813</v>
      </c>
      <c r="B40" t="s">
        <v>814</v>
      </c>
      <c r="C40">
        <v>14</v>
      </c>
      <c r="D40" t="s">
        <v>2</v>
      </c>
      <c r="E40">
        <v>12276</v>
      </c>
      <c r="F40">
        <v>171864</v>
      </c>
    </row>
    <row r="41" spans="1:6" x14ac:dyDescent="0.35">
      <c r="A41" t="s">
        <v>815</v>
      </c>
      <c r="B41" t="s">
        <v>816</v>
      </c>
      <c r="C41">
        <v>1</v>
      </c>
      <c r="D41" t="s">
        <v>5</v>
      </c>
      <c r="E41">
        <v>165113</v>
      </c>
      <c r="F41">
        <v>165113</v>
      </c>
    </row>
    <row r="42" spans="1:6" x14ac:dyDescent="0.35">
      <c r="A42" t="s">
        <v>817</v>
      </c>
      <c r="B42" t="s">
        <v>818</v>
      </c>
      <c r="C42">
        <v>850</v>
      </c>
      <c r="D42" t="s">
        <v>2</v>
      </c>
      <c r="E42">
        <v>192.06</v>
      </c>
      <c r="F42">
        <v>163251</v>
      </c>
    </row>
    <row r="43" spans="1:6" x14ac:dyDescent="0.35">
      <c r="A43" t="s">
        <v>819</v>
      </c>
      <c r="B43" t="s">
        <v>820</v>
      </c>
      <c r="C43">
        <v>156</v>
      </c>
      <c r="D43" t="s">
        <v>2</v>
      </c>
      <c r="E43">
        <v>955.93589743589746</v>
      </c>
      <c r="F43">
        <v>149126</v>
      </c>
    </row>
    <row r="44" spans="1:6" x14ac:dyDescent="0.35">
      <c r="A44" t="s">
        <v>821</v>
      </c>
      <c r="B44" t="s">
        <v>822</v>
      </c>
      <c r="C44">
        <v>249</v>
      </c>
      <c r="D44" t="s">
        <v>2</v>
      </c>
      <c r="E44">
        <v>488.4</v>
      </c>
      <c r="F44">
        <v>121611.6</v>
      </c>
    </row>
    <row r="45" spans="1:6" x14ac:dyDescent="0.35">
      <c r="A45" t="s">
        <v>823</v>
      </c>
      <c r="B45" t="s">
        <v>824</v>
      </c>
      <c r="C45">
        <v>1</v>
      </c>
      <c r="D45" t="s">
        <v>2</v>
      </c>
      <c r="E45">
        <v>120877</v>
      </c>
      <c r="F45">
        <v>120877</v>
      </c>
    </row>
    <row r="46" spans="1:6" x14ac:dyDescent="0.35">
      <c r="A46" t="s">
        <v>825</v>
      </c>
      <c r="B46" t="s">
        <v>169</v>
      </c>
      <c r="C46">
        <v>99</v>
      </c>
      <c r="D46" t="s">
        <v>5</v>
      </c>
      <c r="E46">
        <v>1056</v>
      </c>
      <c r="F46">
        <v>104544</v>
      </c>
    </row>
    <row r="47" spans="1:6" x14ac:dyDescent="0.35">
      <c r="A47" t="s">
        <v>826</v>
      </c>
      <c r="B47" t="s">
        <v>785</v>
      </c>
      <c r="C47">
        <v>1</v>
      </c>
      <c r="D47" t="s">
        <v>2</v>
      </c>
      <c r="E47">
        <v>102708.27272727271</v>
      </c>
      <c r="F47">
        <v>102708.27272727271</v>
      </c>
    </row>
    <row r="48" spans="1:6" x14ac:dyDescent="0.35">
      <c r="A48" t="s">
        <v>827</v>
      </c>
      <c r="B48" t="s">
        <v>828</v>
      </c>
      <c r="C48">
        <v>41</v>
      </c>
      <c r="D48" t="s">
        <v>5</v>
      </c>
      <c r="E48">
        <v>2260.1940298507461</v>
      </c>
      <c r="F48">
        <v>92667.955223880592</v>
      </c>
    </row>
    <row r="49" spans="1:6" x14ac:dyDescent="0.35">
      <c r="A49" t="s">
        <v>829</v>
      </c>
      <c r="B49" t="s">
        <v>830</v>
      </c>
      <c r="C49">
        <v>17</v>
      </c>
      <c r="D49" t="s">
        <v>2</v>
      </c>
      <c r="E49">
        <v>5273.7647058823532</v>
      </c>
      <c r="F49">
        <v>89654</v>
      </c>
    </row>
    <row r="50" spans="1:6" x14ac:dyDescent="0.35">
      <c r="A50" t="s">
        <v>831</v>
      </c>
      <c r="B50" t="s">
        <v>832</v>
      </c>
      <c r="C50">
        <v>1</v>
      </c>
      <c r="D50" t="s">
        <v>2</v>
      </c>
      <c r="E50">
        <v>77767</v>
      </c>
      <c r="F50">
        <v>77767</v>
      </c>
    </row>
    <row r="51" spans="1:6" x14ac:dyDescent="0.35">
      <c r="A51" t="s">
        <v>833</v>
      </c>
      <c r="B51" t="s">
        <v>818</v>
      </c>
      <c r="C51">
        <v>400</v>
      </c>
      <c r="D51" t="s">
        <v>2</v>
      </c>
      <c r="E51">
        <v>192.06</v>
      </c>
      <c r="F51">
        <v>76824</v>
      </c>
    </row>
    <row r="52" spans="1:6" x14ac:dyDescent="0.35">
      <c r="A52" t="s">
        <v>834</v>
      </c>
      <c r="B52" t="s">
        <v>835</v>
      </c>
      <c r="C52">
        <v>2</v>
      </c>
      <c r="D52" t="s">
        <v>2</v>
      </c>
      <c r="E52">
        <v>35709.5</v>
      </c>
      <c r="F52">
        <v>71419</v>
      </c>
    </row>
    <row r="53" spans="1:6" x14ac:dyDescent="0.35">
      <c r="A53" t="s">
        <v>836</v>
      </c>
      <c r="B53" t="s">
        <v>837</v>
      </c>
      <c r="C53">
        <v>1</v>
      </c>
      <c r="D53" t="s">
        <v>2</v>
      </c>
      <c r="E53">
        <v>56573</v>
      </c>
      <c r="F53">
        <v>56573</v>
      </c>
    </row>
    <row r="54" spans="1:6" x14ac:dyDescent="0.35">
      <c r="A54" t="s">
        <v>838</v>
      </c>
      <c r="B54" t="s">
        <v>839</v>
      </c>
      <c r="C54">
        <v>8</v>
      </c>
      <c r="D54" t="s">
        <v>2</v>
      </c>
      <c r="E54">
        <v>6583.25</v>
      </c>
      <c r="F54">
        <v>52666</v>
      </c>
    </row>
    <row r="55" spans="1:6" x14ac:dyDescent="0.35">
      <c r="A55" t="s">
        <v>840</v>
      </c>
      <c r="B55" t="s">
        <v>354</v>
      </c>
      <c r="C55">
        <v>20</v>
      </c>
      <c r="D55" t="s">
        <v>2</v>
      </c>
      <c r="E55">
        <v>2550.6531061022538</v>
      </c>
      <c r="F55">
        <v>51013.062122045078</v>
      </c>
    </row>
    <row r="56" spans="1:6" x14ac:dyDescent="0.35">
      <c r="A56" t="s">
        <v>841</v>
      </c>
      <c r="B56" t="s">
        <v>842</v>
      </c>
      <c r="C56">
        <v>8900</v>
      </c>
      <c r="D56" t="s">
        <v>2</v>
      </c>
      <c r="E56">
        <v>5.3340659340659338</v>
      </c>
      <c r="F56">
        <v>47473.18681318681</v>
      </c>
    </row>
    <row r="57" spans="1:6" x14ac:dyDescent="0.35">
      <c r="A57" t="s">
        <v>843</v>
      </c>
      <c r="B57" t="s">
        <v>844</v>
      </c>
      <c r="C57">
        <v>127</v>
      </c>
      <c r="D57" t="s">
        <v>5</v>
      </c>
      <c r="E57">
        <v>349.2001953125</v>
      </c>
      <c r="F57">
        <v>44348.4248046875</v>
      </c>
    </row>
    <row r="58" spans="1:6" x14ac:dyDescent="0.35">
      <c r="A58" t="s">
        <v>845</v>
      </c>
      <c r="C58">
        <v>2</v>
      </c>
      <c r="D58" t="s">
        <v>2</v>
      </c>
      <c r="E58">
        <v>21895.5</v>
      </c>
      <c r="F58">
        <v>43791</v>
      </c>
    </row>
    <row r="59" spans="1:6" x14ac:dyDescent="0.35">
      <c r="A59" t="s">
        <v>846</v>
      </c>
      <c r="B59" t="s">
        <v>405</v>
      </c>
      <c r="C59">
        <v>20</v>
      </c>
      <c r="D59" t="s">
        <v>2</v>
      </c>
      <c r="E59">
        <v>2024.5</v>
      </c>
      <c r="F59">
        <v>40490</v>
      </c>
    </row>
    <row r="60" spans="1:6" x14ac:dyDescent="0.35">
      <c r="A60" t="s">
        <v>847</v>
      </c>
      <c r="B60" t="s">
        <v>848</v>
      </c>
      <c r="C60">
        <v>8</v>
      </c>
      <c r="D60" t="s">
        <v>2</v>
      </c>
      <c r="E60">
        <v>4596.375</v>
      </c>
      <c r="F60">
        <v>36771</v>
      </c>
    </row>
    <row r="61" spans="1:6" x14ac:dyDescent="0.35">
      <c r="A61" t="s">
        <v>849</v>
      </c>
      <c r="B61" t="s">
        <v>850</v>
      </c>
      <c r="C61">
        <v>1</v>
      </c>
      <c r="D61" t="s">
        <v>2</v>
      </c>
      <c r="E61">
        <v>35710</v>
      </c>
      <c r="F61">
        <v>35710</v>
      </c>
    </row>
    <row r="62" spans="1:6" x14ac:dyDescent="0.35">
      <c r="A62" t="s">
        <v>851</v>
      </c>
      <c r="B62" t="s">
        <v>852</v>
      </c>
      <c r="C62">
        <v>1</v>
      </c>
      <c r="D62" t="s">
        <v>2</v>
      </c>
      <c r="E62">
        <v>29472.42424242424</v>
      </c>
      <c r="F62">
        <v>29472.42424242424</v>
      </c>
    </row>
    <row r="63" spans="1:6" x14ac:dyDescent="0.35">
      <c r="A63" t="s">
        <v>853</v>
      </c>
      <c r="B63" t="s">
        <v>854</v>
      </c>
      <c r="C63">
        <v>10</v>
      </c>
      <c r="D63" t="s">
        <v>2</v>
      </c>
      <c r="E63">
        <v>2597.1999999999998</v>
      </c>
      <c r="F63">
        <v>25972</v>
      </c>
    </row>
    <row r="64" spans="1:6" x14ac:dyDescent="0.35">
      <c r="A64" t="s">
        <v>855</v>
      </c>
      <c r="B64" t="s">
        <v>856</v>
      </c>
      <c r="C64">
        <v>11</v>
      </c>
      <c r="D64" t="s">
        <v>2</v>
      </c>
      <c r="E64">
        <v>2242.247422680412</v>
      </c>
      <c r="F64">
        <v>24664.721649484542</v>
      </c>
    </row>
    <row r="65" spans="1:6" x14ac:dyDescent="0.35">
      <c r="A65" t="s">
        <v>857</v>
      </c>
      <c r="B65" t="s">
        <v>348</v>
      </c>
      <c r="C65">
        <v>6</v>
      </c>
      <c r="D65" t="s">
        <v>2</v>
      </c>
      <c r="E65">
        <v>4036.7</v>
      </c>
      <c r="F65">
        <v>24220.2</v>
      </c>
    </row>
    <row r="66" spans="1:6" x14ac:dyDescent="0.35">
      <c r="A66" t="s">
        <v>858</v>
      </c>
      <c r="B66" t="s">
        <v>859</v>
      </c>
      <c r="C66">
        <v>10</v>
      </c>
      <c r="D66" t="s">
        <v>2</v>
      </c>
      <c r="E66">
        <v>2385</v>
      </c>
      <c r="F66">
        <v>23850</v>
      </c>
    </row>
    <row r="67" spans="1:6" x14ac:dyDescent="0.35">
      <c r="A67" t="s">
        <v>860</v>
      </c>
      <c r="B67" t="s">
        <v>861</v>
      </c>
      <c r="C67">
        <v>1</v>
      </c>
      <c r="D67" t="s">
        <v>2</v>
      </c>
      <c r="E67">
        <v>20749</v>
      </c>
      <c r="F67">
        <v>20749</v>
      </c>
    </row>
    <row r="68" spans="1:6" x14ac:dyDescent="0.35">
      <c r="A68" t="s">
        <v>862</v>
      </c>
      <c r="B68" t="s">
        <v>863</v>
      </c>
      <c r="C68">
        <v>3</v>
      </c>
      <c r="D68" t="s">
        <v>864</v>
      </c>
      <c r="E68">
        <v>6683.6184210526317</v>
      </c>
      <c r="F68">
        <v>20050.85526315789</v>
      </c>
    </row>
    <row r="69" spans="1:6" x14ac:dyDescent="0.35">
      <c r="A69" t="s">
        <v>865</v>
      </c>
      <c r="B69" t="s">
        <v>866</v>
      </c>
      <c r="C69">
        <v>4</v>
      </c>
      <c r="D69" t="s">
        <v>2</v>
      </c>
      <c r="E69">
        <v>4716</v>
      </c>
      <c r="F69">
        <v>18864</v>
      </c>
    </row>
    <row r="70" spans="1:6" x14ac:dyDescent="0.35">
      <c r="A70" t="s">
        <v>867</v>
      </c>
      <c r="B70" t="s">
        <v>868</v>
      </c>
      <c r="C70">
        <v>1</v>
      </c>
      <c r="D70" t="s">
        <v>2</v>
      </c>
      <c r="E70">
        <v>17970</v>
      </c>
      <c r="F70">
        <v>17970</v>
      </c>
    </row>
    <row r="71" spans="1:6" x14ac:dyDescent="0.35">
      <c r="A71" t="s">
        <v>869</v>
      </c>
      <c r="B71" t="s">
        <v>870</v>
      </c>
      <c r="C71">
        <v>6</v>
      </c>
      <c r="D71" t="s">
        <v>871</v>
      </c>
      <c r="E71">
        <v>2970.3571428571431</v>
      </c>
      <c r="F71">
        <v>17822.142857142859</v>
      </c>
    </row>
    <row r="72" spans="1:6" x14ac:dyDescent="0.35">
      <c r="A72" t="s">
        <v>872</v>
      </c>
      <c r="B72" t="s">
        <v>873</v>
      </c>
      <c r="C72">
        <v>2</v>
      </c>
      <c r="D72" t="s">
        <v>2</v>
      </c>
      <c r="E72">
        <v>8424.5</v>
      </c>
      <c r="F72">
        <v>16849</v>
      </c>
    </row>
    <row r="73" spans="1:6" x14ac:dyDescent="0.35">
      <c r="A73" t="s">
        <v>874</v>
      </c>
      <c r="B73" t="s">
        <v>875</v>
      </c>
      <c r="C73">
        <v>1</v>
      </c>
      <c r="D73" t="s">
        <v>2</v>
      </c>
      <c r="E73">
        <v>11244</v>
      </c>
      <c r="F73">
        <v>11244</v>
      </c>
    </row>
    <row r="74" spans="1:6" x14ac:dyDescent="0.35">
      <c r="A74" t="s">
        <v>876</v>
      </c>
      <c r="B74" t="s">
        <v>877</v>
      </c>
      <c r="C74">
        <v>5</v>
      </c>
      <c r="D74" t="s">
        <v>2</v>
      </c>
      <c r="E74">
        <v>2241</v>
      </c>
      <c r="F74">
        <v>11205</v>
      </c>
    </row>
    <row r="75" spans="1:6" x14ac:dyDescent="0.35">
      <c r="A75" t="s">
        <v>878</v>
      </c>
      <c r="B75" t="s">
        <v>879</v>
      </c>
      <c r="C75">
        <v>1</v>
      </c>
      <c r="D75" t="s">
        <v>871</v>
      </c>
      <c r="E75">
        <v>9913.6875</v>
      </c>
      <c r="F75">
        <v>9913.6875</v>
      </c>
    </row>
    <row r="76" spans="1:6" x14ac:dyDescent="0.35">
      <c r="A76" t="s">
        <v>880</v>
      </c>
      <c r="B76" t="s">
        <v>707</v>
      </c>
      <c r="C76">
        <v>12</v>
      </c>
      <c r="D76" t="s">
        <v>2</v>
      </c>
      <c r="E76">
        <v>806.65277777777783</v>
      </c>
      <c r="F76">
        <v>9679.8333333333339</v>
      </c>
    </row>
    <row r="77" spans="1:6" x14ac:dyDescent="0.35">
      <c r="A77" t="s">
        <v>881</v>
      </c>
      <c r="B77" t="s">
        <v>882</v>
      </c>
      <c r="C77">
        <v>2</v>
      </c>
      <c r="D77" t="s">
        <v>2</v>
      </c>
      <c r="E77">
        <v>3850.5</v>
      </c>
      <c r="F77">
        <v>7701</v>
      </c>
    </row>
    <row r="78" spans="1:6" x14ac:dyDescent="0.35">
      <c r="A78" t="s">
        <v>883</v>
      </c>
      <c r="B78" t="s">
        <v>884</v>
      </c>
      <c r="C78">
        <v>2</v>
      </c>
      <c r="D78" t="s">
        <v>2</v>
      </c>
      <c r="E78">
        <v>2310</v>
      </c>
      <c r="F78">
        <v>4620</v>
      </c>
    </row>
    <row r="79" spans="1:6" x14ac:dyDescent="0.35">
      <c r="A79" t="s">
        <v>885</v>
      </c>
      <c r="B79" t="s">
        <v>886</v>
      </c>
      <c r="C79">
        <v>1</v>
      </c>
      <c r="D79" t="s">
        <v>887</v>
      </c>
      <c r="E79">
        <v>156</v>
      </c>
      <c r="F79">
        <v>156</v>
      </c>
    </row>
    <row r="80" spans="1:6" x14ac:dyDescent="0.35">
      <c r="A80" t="s">
        <v>888</v>
      </c>
      <c r="B80" t="s">
        <v>889</v>
      </c>
      <c r="C80">
        <v>1</v>
      </c>
      <c r="F80">
        <v>0</v>
      </c>
    </row>
    <row r="81" spans="1:6" x14ac:dyDescent="0.35">
      <c r="A81" t="s">
        <v>890</v>
      </c>
      <c r="C81">
        <v>1</v>
      </c>
      <c r="F81">
        <v>0</v>
      </c>
    </row>
    <row r="82" spans="1:6" x14ac:dyDescent="0.35">
      <c r="A82" t="s">
        <v>891</v>
      </c>
      <c r="B82" t="s">
        <v>892</v>
      </c>
      <c r="C82">
        <v>1</v>
      </c>
      <c r="F82">
        <v>0</v>
      </c>
    </row>
    <row r="83" spans="1:6" x14ac:dyDescent="0.35">
      <c r="A83" t="s">
        <v>893</v>
      </c>
      <c r="C83">
        <v>2</v>
      </c>
      <c r="F83">
        <v>0</v>
      </c>
    </row>
    <row r="84" spans="1:6" x14ac:dyDescent="0.35">
      <c r="A84" t="s">
        <v>894</v>
      </c>
      <c r="C84">
        <v>2</v>
      </c>
      <c r="F84">
        <v>0</v>
      </c>
    </row>
    <row r="85" spans="1:6" x14ac:dyDescent="0.35">
      <c r="A85" t="s">
        <v>895</v>
      </c>
      <c r="C85">
        <v>2</v>
      </c>
      <c r="F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2622-0D58-4CD8-9754-BB4054C2DCA9}">
  <dimension ref="A1:F401"/>
  <sheetViews>
    <sheetView workbookViewId="0">
      <selection activeCell="D1" sqref="D1:D1048576"/>
    </sheetView>
  </sheetViews>
  <sheetFormatPr defaultRowHeight="14.5" x14ac:dyDescent="0.35"/>
  <cols>
    <col min="1" max="1" width="47.81640625" customWidth="1"/>
  </cols>
  <sheetData>
    <row r="1" spans="1:6" x14ac:dyDescent="0.35">
      <c r="A1" t="s">
        <v>743</v>
      </c>
      <c r="B1" t="s">
        <v>744</v>
      </c>
      <c r="C1" t="s">
        <v>745</v>
      </c>
      <c r="D1" t="s">
        <v>746</v>
      </c>
      <c r="E1" t="s">
        <v>747</v>
      </c>
      <c r="F1" t="s">
        <v>748</v>
      </c>
    </row>
    <row r="2" spans="1:6" x14ac:dyDescent="0.35">
      <c r="A2" t="s">
        <v>0</v>
      </c>
      <c r="B2" t="s">
        <v>1</v>
      </c>
      <c r="C2">
        <v>34</v>
      </c>
      <c r="D2" t="s">
        <v>2</v>
      </c>
      <c r="E2">
        <v>280720</v>
      </c>
      <c r="F2">
        <v>9544480</v>
      </c>
    </row>
    <row r="3" spans="1:6" x14ac:dyDescent="0.35">
      <c r="A3" t="s">
        <v>3</v>
      </c>
      <c r="B3" t="s">
        <v>4</v>
      </c>
      <c r="C3">
        <v>200</v>
      </c>
      <c r="D3" t="s">
        <v>5</v>
      </c>
      <c r="E3">
        <v>26243.279999999999</v>
      </c>
      <c r="F3">
        <v>5248656</v>
      </c>
    </row>
    <row r="4" spans="1:6" x14ac:dyDescent="0.35">
      <c r="A4" t="s">
        <v>6</v>
      </c>
      <c r="B4" t="s">
        <v>7</v>
      </c>
      <c r="C4">
        <v>70</v>
      </c>
      <c r="D4" t="s">
        <v>2</v>
      </c>
      <c r="E4">
        <v>62146.657142857141</v>
      </c>
      <c r="F4">
        <v>4350266</v>
      </c>
    </row>
    <row r="5" spans="1:6" x14ac:dyDescent="0.35">
      <c r="A5" t="s">
        <v>8</v>
      </c>
      <c r="B5" t="s">
        <v>9</v>
      </c>
      <c r="C5">
        <v>100</v>
      </c>
      <c r="D5" t="s">
        <v>2</v>
      </c>
      <c r="E5">
        <v>34596.120000000003</v>
      </c>
      <c r="F5">
        <v>3459612</v>
      </c>
    </row>
    <row r="6" spans="1:6" x14ac:dyDescent="0.35">
      <c r="A6" t="s">
        <v>10</v>
      </c>
      <c r="B6" t="s">
        <v>11</v>
      </c>
      <c r="C6">
        <v>23</v>
      </c>
      <c r="D6" t="s">
        <v>5</v>
      </c>
      <c r="E6">
        <v>117022.39999999999</v>
      </c>
      <c r="F6">
        <v>2691515.2</v>
      </c>
    </row>
    <row r="7" spans="1:6" x14ac:dyDescent="0.35">
      <c r="A7" t="s">
        <v>12</v>
      </c>
      <c r="B7" t="s">
        <v>13</v>
      </c>
      <c r="C7">
        <v>1370</v>
      </c>
      <c r="D7" t="s">
        <v>5</v>
      </c>
      <c r="E7">
        <v>1757.349056603774</v>
      </c>
      <c r="F7">
        <v>2407568.2075471701</v>
      </c>
    </row>
    <row r="8" spans="1:6" x14ac:dyDescent="0.35">
      <c r="A8" t="s">
        <v>14</v>
      </c>
      <c r="B8" t="s">
        <v>15</v>
      </c>
      <c r="C8">
        <v>350</v>
      </c>
      <c r="D8" t="s">
        <v>5</v>
      </c>
      <c r="E8">
        <v>6283.19943019943</v>
      </c>
      <c r="F8">
        <v>2199119.8005698011</v>
      </c>
    </row>
    <row r="9" spans="1:6" x14ac:dyDescent="0.35">
      <c r="A9" t="s">
        <v>16</v>
      </c>
      <c r="B9" t="s">
        <v>17</v>
      </c>
      <c r="C9">
        <v>2</v>
      </c>
      <c r="D9" t="s">
        <v>5</v>
      </c>
      <c r="E9">
        <v>1025829</v>
      </c>
      <c r="F9">
        <v>2051658</v>
      </c>
    </row>
    <row r="10" spans="1:6" x14ac:dyDescent="0.35">
      <c r="A10" t="s">
        <v>18</v>
      </c>
      <c r="B10" t="s">
        <v>19</v>
      </c>
      <c r="C10">
        <v>20</v>
      </c>
      <c r="D10" t="s">
        <v>2</v>
      </c>
      <c r="E10">
        <v>80572.8024691358</v>
      </c>
      <c r="F10">
        <v>1611456.049382716</v>
      </c>
    </row>
    <row r="11" spans="1:6" x14ac:dyDescent="0.35">
      <c r="A11" t="s">
        <v>20</v>
      </c>
      <c r="B11" t="s">
        <v>21</v>
      </c>
      <c r="C11">
        <v>5</v>
      </c>
      <c r="D11" t="s">
        <v>2</v>
      </c>
      <c r="E11">
        <v>314072</v>
      </c>
      <c r="F11">
        <v>1570360</v>
      </c>
    </row>
    <row r="12" spans="1:6" x14ac:dyDescent="0.35">
      <c r="A12" t="s">
        <v>22</v>
      </c>
      <c r="B12" t="s">
        <v>23</v>
      </c>
      <c r="C12">
        <v>26</v>
      </c>
      <c r="D12" t="s">
        <v>2</v>
      </c>
      <c r="E12">
        <v>58862.307692307702</v>
      </c>
      <c r="F12">
        <v>1530420</v>
      </c>
    </row>
    <row r="13" spans="1:6" x14ac:dyDescent="0.35">
      <c r="A13" t="s">
        <v>24</v>
      </c>
      <c r="B13" t="s">
        <v>25</v>
      </c>
      <c r="C13">
        <v>5</v>
      </c>
      <c r="D13" t="s">
        <v>2</v>
      </c>
      <c r="E13">
        <v>298958.8</v>
      </c>
      <c r="F13">
        <v>1494794</v>
      </c>
    </row>
    <row r="14" spans="1:6" x14ac:dyDescent="0.35">
      <c r="A14" t="s">
        <v>26</v>
      </c>
      <c r="B14" t="s">
        <v>27</v>
      </c>
      <c r="C14">
        <v>11</v>
      </c>
      <c r="D14" t="s">
        <v>2</v>
      </c>
      <c r="E14">
        <v>127428.25</v>
      </c>
      <c r="F14">
        <v>1401710.75</v>
      </c>
    </row>
    <row r="15" spans="1:6" x14ac:dyDescent="0.35">
      <c r="A15" t="s">
        <v>28</v>
      </c>
      <c r="B15" t="s">
        <v>29</v>
      </c>
      <c r="C15">
        <v>140</v>
      </c>
      <c r="D15" t="s">
        <v>2</v>
      </c>
      <c r="E15">
        <v>9788.2428571428572</v>
      </c>
      <c r="F15">
        <v>1370354</v>
      </c>
    </row>
    <row r="16" spans="1:6" x14ac:dyDescent="0.35">
      <c r="A16" t="s">
        <v>30</v>
      </c>
      <c r="B16" t="s">
        <v>31</v>
      </c>
      <c r="C16">
        <v>1000</v>
      </c>
      <c r="D16" t="s">
        <v>2</v>
      </c>
      <c r="E16">
        <v>1266.7230343737649</v>
      </c>
      <c r="F16">
        <v>1266723.0343737651</v>
      </c>
    </row>
    <row r="17" spans="1:6" x14ac:dyDescent="0.35">
      <c r="A17" t="s">
        <v>32</v>
      </c>
      <c r="B17" t="s">
        <v>33</v>
      </c>
      <c r="C17">
        <v>2</v>
      </c>
      <c r="D17" t="s">
        <v>2</v>
      </c>
      <c r="E17">
        <v>598501</v>
      </c>
      <c r="F17">
        <v>1197002</v>
      </c>
    </row>
    <row r="18" spans="1:6" x14ac:dyDescent="0.35">
      <c r="A18" t="s">
        <v>34</v>
      </c>
      <c r="B18" t="s">
        <v>11</v>
      </c>
      <c r="C18">
        <v>10</v>
      </c>
      <c r="D18" t="s">
        <v>5</v>
      </c>
      <c r="E18">
        <v>117022.39999999999</v>
      </c>
      <c r="F18">
        <v>1170224</v>
      </c>
    </row>
    <row r="19" spans="1:6" x14ac:dyDescent="0.35">
      <c r="A19" t="s">
        <v>35</v>
      </c>
      <c r="B19" t="s">
        <v>36</v>
      </c>
      <c r="C19">
        <v>4</v>
      </c>
      <c r="D19" t="s">
        <v>2</v>
      </c>
      <c r="E19">
        <v>289654.5</v>
      </c>
      <c r="F19">
        <v>1158618</v>
      </c>
    </row>
    <row r="20" spans="1:6" x14ac:dyDescent="0.35">
      <c r="A20" t="s">
        <v>37</v>
      </c>
      <c r="B20" t="s">
        <v>38</v>
      </c>
      <c r="C20">
        <v>17</v>
      </c>
      <c r="D20" t="s">
        <v>2</v>
      </c>
      <c r="E20">
        <v>65683.176470588238</v>
      </c>
      <c r="F20">
        <v>1116614</v>
      </c>
    </row>
    <row r="21" spans="1:6" x14ac:dyDescent="0.35">
      <c r="A21" t="s">
        <v>39</v>
      </c>
      <c r="B21" t="s">
        <v>40</v>
      </c>
      <c r="C21">
        <v>3</v>
      </c>
      <c r="D21" t="s">
        <v>2</v>
      </c>
      <c r="E21">
        <v>366864</v>
      </c>
      <c r="F21">
        <v>1100592</v>
      </c>
    </row>
    <row r="22" spans="1:6" x14ac:dyDescent="0.35">
      <c r="A22" t="s">
        <v>41</v>
      </c>
      <c r="B22" t="s">
        <v>42</v>
      </c>
      <c r="C22">
        <v>20</v>
      </c>
      <c r="D22" t="s">
        <v>2</v>
      </c>
      <c r="E22">
        <v>54599.7027027027</v>
      </c>
      <c r="F22">
        <v>1091994.054054054</v>
      </c>
    </row>
    <row r="23" spans="1:6" x14ac:dyDescent="0.35">
      <c r="A23" t="s">
        <v>43</v>
      </c>
      <c r="B23" t="s">
        <v>44</v>
      </c>
      <c r="C23">
        <v>23</v>
      </c>
      <c r="D23" t="s">
        <v>2</v>
      </c>
      <c r="E23">
        <v>46493.90625</v>
      </c>
      <c r="F23">
        <v>1069359.84375</v>
      </c>
    </row>
    <row r="24" spans="1:6" x14ac:dyDescent="0.35">
      <c r="A24" t="s">
        <v>45</v>
      </c>
      <c r="B24" t="s">
        <v>46</v>
      </c>
      <c r="C24">
        <v>14</v>
      </c>
      <c r="D24" t="s">
        <v>2</v>
      </c>
      <c r="E24">
        <v>74646.857142857145</v>
      </c>
      <c r="F24">
        <v>1045056</v>
      </c>
    </row>
    <row r="25" spans="1:6" x14ac:dyDescent="0.35">
      <c r="A25" t="s">
        <v>47</v>
      </c>
      <c r="B25" t="s">
        <v>48</v>
      </c>
      <c r="C25">
        <v>41</v>
      </c>
      <c r="D25" t="s">
        <v>2</v>
      </c>
      <c r="E25">
        <v>25211.11363636364</v>
      </c>
      <c r="F25">
        <v>1033655.6590909089</v>
      </c>
    </row>
    <row r="26" spans="1:6" x14ac:dyDescent="0.35">
      <c r="A26" t="s">
        <v>49</v>
      </c>
      <c r="B26" t="s">
        <v>50</v>
      </c>
      <c r="C26">
        <v>2</v>
      </c>
      <c r="D26" t="s">
        <v>2</v>
      </c>
      <c r="E26">
        <v>503725.5</v>
      </c>
      <c r="F26">
        <v>1007451</v>
      </c>
    </row>
    <row r="27" spans="1:6" x14ac:dyDescent="0.35">
      <c r="A27" t="s">
        <v>51</v>
      </c>
      <c r="B27" t="s">
        <v>52</v>
      </c>
      <c r="C27">
        <v>14</v>
      </c>
      <c r="D27" t="s">
        <v>2</v>
      </c>
      <c r="E27">
        <v>71662.791666666672</v>
      </c>
      <c r="F27">
        <v>1003279.083333333</v>
      </c>
    </row>
    <row r="28" spans="1:6" x14ac:dyDescent="0.35">
      <c r="A28" t="s">
        <v>53</v>
      </c>
      <c r="B28" t="s">
        <v>54</v>
      </c>
      <c r="C28">
        <v>39</v>
      </c>
      <c r="D28" t="s">
        <v>2</v>
      </c>
      <c r="E28">
        <v>22295.682539682541</v>
      </c>
      <c r="F28">
        <v>869531.61904761905</v>
      </c>
    </row>
    <row r="29" spans="1:6" x14ac:dyDescent="0.35">
      <c r="A29" t="s">
        <v>55</v>
      </c>
      <c r="B29" t="s">
        <v>56</v>
      </c>
      <c r="C29">
        <v>14</v>
      </c>
      <c r="D29" t="s">
        <v>2</v>
      </c>
      <c r="E29">
        <v>57985.857142857138</v>
      </c>
      <c r="F29">
        <v>811802</v>
      </c>
    </row>
    <row r="30" spans="1:6" x14ac:dyDescent="0.35">
      <c r="A30" t="s">
        <v>57</v>
      </c>
      <c r="B30" t="s">
        <v>58</v>
      </c>
      <c r="C30">
        <v>150</v>
      </c>
      <c r="D30" t="s">
        <v>2</v>
      </c>
      <c r="E30">
        <v>5280</v>
      </c>
      <c r="F30">
        <v>792000</v>
      </c>
    </row>
    <row r="31" spans="1:6" x14ac:dyDescent="0.35">
      <c r="A31" t="s">
        <v>59</v>
      </c>
      <c r="B31" t="s">
        <v>60</v>
      </c>
      <c r="C31">
        <v>61</v>
      </c>
      <c r="D31" t="s">
        <v>5</v>
      </c>
      <c r="E31">
        <v>12858.09836065574</v>
      </c>
      <c r="F31">
        <v>784344</v>
      </c>
    </row>
    <row r="32" spans="1:6" x14ac:dyDescent="0.35">
      <c r="A32" t="s">
        <v>61</v>
      </c>
      <c r="B32" t="s">
        <v>62</v>
      </c>
      <c r="C32">
        <v>20</v>
      </c>
      <c r="D32" t="s">
        <v>2</v>
      </c>
      <c r="E32">
        <v>38675.699999999997</v>
      </c>
      <c r="F32">
        <v>773514</v>
      </c>
    </row>
    <row r="33" spans="1:6" x14ac:dyDescent="0.35">
      <c r="A33" t="s">
        <v>63</v>
      </c>
      <c r="B33" t="s">
        <v>64</v>
      </c>
      <c r="C33">
        <v>700</v>
      </c>
      <c r="D33" t="s">
        <v>2</v>
      </c>
      <c r="E33">
        <v>1097.361290322581</v>
      </c>
      <c r="F33">
        <v>768152.90322580643</v>
      </c>
    </row>
    <row r="34" spans="1:6" x14ac:dyDescent="0.35">
      <c r="A34" t="s">
        <v>65</v>
      </c>
      <c r="B34" t="s">
        <v>66</v>
      </c>
      <c r="C34">
        <v>2</v>
      </c>
      <c r="D34" t="s">
        <v>5</v>
      </c>
      <c r="E34">
        <v>354319.66666666669</v>
      </c>
      <c r="F34">
        <v>708639.33333333337</v>
      </c>
    </row>
    <row r="35" spans="1:6" x14ac:dyDescent="0.35">
      <c r="A35" t="s">
        <v>67</v>
      </c>
      <c r="B35" t="s">
        <v>68</v>
      </c>
      <c r="C35">
        <v>70</v>
      </c>
      <c r="D35" t="s">
        <v>5</v>
      </c>
      <c r="E35">
        <v>9650.4580152671751</v>
      </c>
      <c r="F35">
        <v>675532.06106870226</v>
      </c>
    </row>
    <row r="36" spans="1:6" x14ac:dyDescent="0.35">
      <c r="A36" t="s">
        <v>69</v>
      </c>
      <c r="B36" t="s">
        <v>70</v>
      </c>
      <c r="C36">
        <v>1</v>
      </c>
      <c r="D36" t="s">
        <v>2</v>
      </c>
      <c r="E36">
        <v>623740</v>
      </c>
      <c r="F36">
        <v>623740</v>
      </c>
    </row>
    <row r="37" spans="1:6" x14ac:dyDescent="0.35">
      <c r="A37" t="s">
        <v>71</v>
      </c>
      <c r="B37" t="s">
        <v>72</v>
      </c>
      <c r="C37">
        <v>17</v>
      </c>
      <c r="D37" t="s">
        <v>2</v>
      </c>
      <c r="E37">
        <v>36468.705882352937</v>
      </c>
      <c r="F37">
        <v>619968</v>
      </c>
    </row>
    <row r="38" spans="1:6" x14ac:dyDescent="0.35">
      <c r="A38" t="s">
        <v>73</v>
      </c>
      <c r="B38" t="s">
        <v>74</v>
      </c>
      <c r="C38">
        <v>30</v>
      </c>
      <c r="D38" t="s">
        <v>2</v>
      </c>
      <c r="E38">
        <v>20149.933333333331</v>
      </c>
      <c r="F38">
        <v>604498</v>
      </c>
    </row>
    <row r="39" spans="1:6" x14ac:dyDescent="0.35">
      <c r="A39" t="s">
        <v>75</v>
      </c>
      <c r="B39" t="s">
        <v>76</v>
      </c>
      <c r="C39">
        <v>26</v>
      </c>
      <c r="D39" t="s">
        <v>2</v>
      </c>
      <c r="E39">
        <v>23181.85185185185</v>
      </c>
      <c r="F39">
        <v>602728.14814814809</v>
      </c>
    </row>
    <row r="40" spans="1:6" x14ac:dyDescent="0.35">
      <c r="A40" t="s">
        <v>77</v>
      </c>
      <c r="B40" t="s">
        <v>78</v>
      </c>
      <c r="C40">
        <v>2</v>
      </c>
      <c r="D40" t="s">
        <v>2</v>
      </c>
      <c r="E40">
        <v>300766.5</v>
      </c>
      <c r="F40">
        <v>601533</v>
      </c>
    </row>
    <row r="41" spans="1:6" x14ac:dyDescent="0.35">
      <c r="A41" t="s">
        <v>79</v>
      </c>
      <c r="B41" t="s">
        <v>80</v>
      </c>
      <c r="C41">
        <v>93</v>
      </c>
      <c r="D41" t="s">
        <v>5</v>
      </c>
      <c r="E41">
        <v>6387.9232995658467</v>
      </c>
      <c r="F41">
        <v>594076.8668596237</v>
      </c>
    </row>
    <row r="42" spans="1:6" x14ac:dyDescent="0.35">
      <c r="A42" t="s">
        <v>81</v>
      </c>
      <c r="B42" t="s">
        <v>82</v>
      </c>
      <c r="C42">
        <v>59</v>
      </c>
      <c r="D42" t="s">
        <v>5</v>
      </c>
      <c r="E42">
        <v>10009.11666666667</v>
      </c>
      <c r="F42">
        <v>590537.8833333333</v>
      </c>
    </row>
    <row r="43" spans="1:6" x14ac:dyDescent="0.35">
      <c r="A43" t="s">
        <v>83</v>
      </c>
      <c r="B43" t="s">
        <v>84</v>
      </c>
      <c r="C43">
        <v>9</v>
      </c>
      <c r="D43" t="s">
        <v>2</v>
      </c>
      <c r="E43">
        <v>65482.555555555547</v>
      </c>
      <c r="F43">
        <v>589343</v>
      </c>
    </row>
    <row r="44" spans="1:6" x14ac:dyDescent="0.35">
      <c r="A44" t="s">
        <v>85</v>
      </c>
      <c r="B44" t="s">
        <v>86</v>
      </c>
      <c r="C44">
        <v>10</v>
      </c>
      <c r="D44" t="s">
        <v>2</v>
      </c>
      <c r="E44">
        <v>58862.3</v>
      </c>
      <c r="F44">
        <v>588623</v>
      </c>
    </row>
    <row r="45" spans="1:6" x14ac:dyDescent="0.35">
      <c r="A45" t="s">
        <v>87</v>
      </c>
      <c r="B45" t="s">
        <v>88</v>
      </c>
      <c r="C45">
        <v>130</v>
      </c>
      <c r="D45" t="s">
        <v>2</v>
      </c>
      <c r="E45">
        <v>4374.5538461538463</v>
      </c>
      <c r="F45">
        <v>568692</v>
      </c>
    </row>
    <row r="46" spans="1:6" x14ac:dyDescent="0.35">
      <c r="A46" t="s">
        <v>89</v>
      </c>
      <c r="B46" t="s">
        <v>90</v>
      </c>
      <c r="C46">
        <v>100</v>
      </c>
      <c r="D46" t="s">
        <v>5</v>
      </c>
      <c r="E46">
        <v>5476.24</v>
      </c>
      <c r="F46">
        <v>547624</v>
      </c>
    </row>
    <row r="47" spans="1:6" x14ac:dyDescent="0.35">
      <c r="A47" t="s">
        <v>91</v>
      </c>
      <c r="B47" t="s">
        <v>92</v>
      </c>
      <c r="C47">
        <v>46</v>
      </c>
      <c r="D47" t="s">
        <v>5</v>
      </c>
      <c r="E47">
        <v>10470.803571428571</v>
      </c>
      <c r="F47">
        <v>481656.96428571432</v>
      </c>
    </row>
    <row r="48" spans="1:6" x14ac:dyDescent="0.35">
      <c r="A48" t="s">
        <v>93</v>
      </c>
      <c r="B48" t="s">
        <v>94</v>
      </c>
      <c r="C48">
        <v>1</v>
      </c>
      <c r="D48" t="s">
        <v>2</v>
      </c>
      <c r="E48">
        <v>476827</v>
      </c>
      <c r="F48">
        <v>476827</v>
      </c>
    </row>
    <row r="49" spans="1:6" x14ac:dyDescent="0.35">
      <c r="A49" t="s">
        <v>95</v>
      </c>
      <c r="B49" t="s">
        <v>96</v>
      </c>
      <c r="C49">
        <v>18</v>
      </c>
      <c r="D49" t="s">
        <v>5</v>
      </c>
      <c r="E49">
        <v>25966.166666666672</v>
      </c>
      <c r="F49">
        <v>467391</v>
      </c>
    </row>
    <row r="50" spans="1:6" x14ac:dyDescent="0.35">
      <c r="A50" t="s">
        <v>97</v>
      </c>
      <c r="B50" t="s">
        <v>98</v>
      </c>
      <c r="C50">
        <v>1</v>
      </c>
      <c r="D50" t="s">
        <v>2</v>
      </c>
      <c r="E50">
        <v>463669</v>
      </c>
      <c r="F50">
        <v>463669</v>
      </c>
    </row>
    <row r="51" spans="1:6" x14ac:dyDescent="0.35">
      <c r="A51" t="s">
        <v>99</v>
      </c>
      <c r="B51" t="s">
        <v>100</v>
      </c>
      <c r="C51">
        <v>422</v>
      </c>
      <c r="D51" t="s">
        <v>5</v>
      </c>
      <c r="E51">
        <v>1078</v>
      </c>
      <c r="F51">
        <v>454916</v>
      </c>
    </row>
    <row r="52" spans="1:6" x14ac:dyDescent="0.35">
      <c r="A52" t="s">
        <v>101</v>
      </c>
      <c r="B52" t="s">
        <v>102</v>
      </c>
      <c r="C52">
        <v>3</v>
      </c>
      <c r="D52" t="s">
        <v>5</v>
      </c>
      <c r="E52">
        <v>150245</v>
      </c>
      <c r="F52">
        <v>450735</v>
      </c>
    </row>
    <row r="53" spans="1:6" x14ac:dyDescent="0.35">
      <c r="A53" t="s">
        <v>103</v>
      </c>
      <c r="B53" t="s">
        <v>104</v>
      </c>
      <c r="C53">
        <v>102</v>
      </c>
      <c r="D53" t="s">
        <v>2</v>
      </c>
      <c r="E53">
        <v>4334.4411764705883</v>
      </c>
      <c r="F53">
        <v>442113</v>
      </c>
    </row>
    <row r="54" spans="1:6" x14ac:dyDescent="0.35">
      <c r="A54" t="s">
        <v>105</v>
      </c>
      <c r="B54" t="s">
        <v>106</v>
      </c>
      <c r="C54">
        <v>120</v>
      </c>
      <c r="D54" t="s">
        <v>2</v>
      </c>
      <c r="E54">
        <v>3649.8</v>
      </c>
      <c r="F54">
        <v>437976</v>
      </c>
    </row>
    <row r="55" spans="1:6" x14ac:dyDescent="0.35">
      <c r="A55" t="s">
        <v>107</v>
      </c>
      <c r="B55" t="s">
        <v>108</v>
      </c>
      <c r="C55">
        <v>18</v>
      </c>
      <c r="D55" t="s">
        <v>5</v>
      </c>
      <c r="E55">
        <v>23371.03921568628</v>
      </c>
      <c r="F55">
        <v>420678.70588235301</v>
      </c>
    </row>
    <row r="56" spans="1:6" x14ac:dyDescent="0.35">
      <c r="A56" t="s">
        <v>109</v>
      </c>
      <c r="B56" t="s">
        <v>110</v>
      </c>
      <c r="C56">
        <v>1</v>
      </c>
      <c r="D56" t="s">
        <v>5</v>
      </c>
      <c r="E56">
        <v>415228</v>
      </c>
      <c r="F56">
        <v>415228</v>
      </c>
    </row>
    <row r="57" spans="1:6" x14ac:dyDescent="0.35">
      <c r="A57" t="s">
        <v>111</v>
      </c>
      <c r="B57" t="s">
        <v>112</v>
      </c>
      <c r="C57">
        <v>31</v>
      </c>
      <c r="D57" t="s">
        <v>2</v>
      </c>
      <c r="E57">
        <v>12605.11955241461</v>
      </c>
      <c r="F57">
        <v>390758.70612485282</v>
      </c>
    </row>
    <row r="58" spans="1:6" x14ac:dyDescent="0.35">
      <c r="A58" t="s">
        <v>113</v>
      </c>
      <c r="B58" t="s">
        <v>114</v>
      </c>
      <c r="C58">
        <v>1</v>
      </c>
      <c r="D58" t="s">
        <v>2</v>
      </c>
      <c r="E58">
        <v>387403</v>
      </c>
      <c r="F58">
        <v>387403</v>
      </c>
    </row>
    <row r="59" spans="1:6" x14ac:dyDescent="0.35">
      <c r="A59" t="s">
        <v>115</v>
      </c>
      <c r="B59" t="s">
        <v>116</v>
      </c>
      <c r="C59">
        <v>19</v>
      </c>
      <c r="D59" t="s">
        <v>2</v>
      </c>
      <c r="E59">
        <v>20140.561278863232</v>
      </c>
      <c r="F59">
        <v>382670.66429840139</v>
      </c>
    </row>
    <row r="60" spans="1:6" x14ac:dyDescent="0.35">
      <c r="A60" t="s">
        <v>117</v>
      </c>
      <c r="B60" t="s">
        <v>118</v>
      </c>
      <c r="C60">
        <v>3</v>
      </c>
      <c r="D60" t="s">
        <v>5</v>
      </c>
      <c r="E60">
        <v>126089.9310344828</v>
      </c>
      <c r="F60">
        <v>378269.79310344817</v>
      </c>
    </row>
    <row r="61" spans="1:6" x14ac:dyDescent="0.35">
      <c r="A61" t="s">
        <v>117</v>
      </c>
      <c r="B61" t="s">
        <v>118</v>
      </c>
      <c r="C61">
        <v>3</v>
      </c>
      <c r="D61" t="s">
        <v>5</v>
      </c>
      <c r="E61">
        <v>126089.9310344828</v>
      </c>
      <c r="F61">
        <v>378269.79310344817</v>
      </c>
    </row>
    <row r="62" spans="1:6" x14ac:dyDescent="0.35">
      <c r="A62" t="s">
        <v>119</v>
      </c>
      <c r="B62" t="s">
        <v>120</v>
      </c>
      <c r="C62">
        <v>12</v>
      </c>
      <c r="D62" t="s">
        <v>2</v>
      </c>
      <c r="E62">
        <v>31062.25</v>
      </c>
      <c r="F62">
        <v>372747</v>
      </c>
    </row>
    <row r="63" spans="1:6" x14ac:dyDescent="0.35">
      <c r="A63" t="s">
        <v>121</v>
      </c>
      <c r="B63" t="s">
        <v>122</v>
      </c>
      <c r="C63">
        <v>1</v>
      </c>
      <c r="D63" t="s">
        <v>2</v>
      </c>
      <c r="E63">
        <v>366864</v>
      </c>
      <c r="F63">
        <v>366864</v>
      </c>
    </row>
    <row r="64" spans="1:6" x14ac:dyDescent="0.35">
      <c r="A64" t="s">
        <v>123</v>
      </c>
      <c r="B64" t="s">
        <v>13</v>
      </c>
      <c r="C64">
        <v>200</v>
      </c>
      <c r="D64" t="s">
        <v>5</v>
      </c>
      <c r="E64">
        <v>1757.349056603774</v>
      </c>
      <c r="F64">
        <v>351469.8113207547</v>
      </c>
    </row>
    <row r="65" spans="1:6" x14ac:dyDescent="0.35">
      <c r="A65" t="s">
        <v>124</v>
      </c>
      <c r="B65" t="s">
        <v>125</v>
      </c>
      <c r="C65">
        <v>60</v>
      </c>
      <c r="D65" t="s">
        <v>2</v>
      </c>
      <c r="E65">
        <v>5777.416666666667</v>
      </c>
      <c r="F65">
        <v>346645</v>
      </c>
    </row>
    <row r="66" spans="1:6" x14ac:dyDescent="0.35">
      <c r="A66" t="s">
        <v>126</v>
      </c>
      <c r="B66" t="s">
        <v>127</v>
      </c>
      <c r="C66">
        <v>127</v>
      </c>
      <c r="D66" t="s">
        <v>5</v>
      </c>
      <c r="E66">
        <v>2558.1584699453551</v>
      </c>
      <c r="F66">
        <v>324886.12568306009</v>
      </c>
    </row>
    <row r="67" spans="1:6" x14ac:dyDescent="0.35">
      <c r="A67" t="s">
        <v>128</v>
      </c>
      <c r="B67" t="s">
        <v>19</v>
      </c>
      <c r="C67">
        <v>4</v>
      </c>
      <c r="D67" t="s">
        <v>2</v>
      </c>
      <c r="E67">
        <v>80572.8024691358</v>
      </c>
      <c r="F67">
        <v>322291.2098765432</v>
      </c>
    </row>
    <row r="68" spans="1:6" x14ac:dyDescent="0.35">
      <c r="A68" t="s">
        <v>129</v>
      </c>
      <c r="B68" t="s">
        <v>130</v>
      </c>
      <c r="C68">
        <v>1</v>
      </c>
      <c r="D68" t="s">
        <v>5</v>
      </c>
      <c r="E68">
        <v>314124.11111111112</v>
      </c>
      <c r="F68">
        <v>314124.11111111112</v>
      </c>
    </row>
    <row r="69" spans="1:6" x14ac:dyDescent="0.35">
      <c r="A69" t="s">
        <v>131</v>
      </c>
      <c r="B69" t="s">
        <v>132</v>
      </c>
      <c r="C69">
        <v>1</v>
      </c>
      <c r="D69" t="s">
        <v>2</v>
      </c>
      <c r="E69">
        <v>312412</v>
      </c>
      <c r="F69">
        <v>312412</v>
      </c>
    </row>
    <row r="70" spans="1:6" x14ac:dyDescent="0.35">
      <c r="A70" t="s">
        <v>133</v>
      </c>
      <c r="B70" t="s">
        <v>134</v>
      </c>
      <c r="C70">
        <v>16</v>
      </c>
      <c r="D70" t="s">
        <v>2</v>
      </c>
      <c r="E70">
        <v>19021.8125</v>
      </c>
      <c r="F70">
        <v>304349</v>
      </c>
    </row>
    <row r="71" spans="1:6" x14ac:dyDescent="0.35">
      <c r="A71" t="s">
        <v>135</v>
      </c>
      <c r="B71" t="s">
        <v>102</v>
      </c>
      <c r="C71">
        <v>2</v>
      </c>
      <c r="D71" t="s">
        <v>5</v>
      </c>
      <c r="E71">
        <v>150245</v>
      </c>
      <c r="F71">
        <v>300490</v>
      </c>
    </row>
    <row r="72" spans="1:6" x14ac:dyDescent="0.35">
      <c r="A72" t="s">
        <v>135</v>
      </c>
      <c r="B72" t="s">
        <v>102</v>
      </c>
      <c r="C72">
        <v>2</v>
      </c>
      <c r="D72" t="s">
        <v>5</v>
      </c>
      <c r="E72">
        <v>150245</v>
      </c>
      <c r="F72">
        <v>300490</v>
      </c>
    </row>
    <row r="73" spans="1:6" x14ac:dyDescent="0.35">
      <c r="A73" t="s">
        <v>136</v>
      </c>
      <c r="B73" t="s">
        <v>137</v>
      </c>
      <c r="C73">
        <v>2</v>
      </c>
      <c r="D73" t="s">
        <v>2</v>
      </c>
      <c r="E73">
        <v>150225</v>
      </c>
      <c r="F73">
        <v>300450</v>
      </c>
    </row>
    <row r="74" spans="1:6" x14ac:dyDescent="0.35">
      <c r="A74" t="s">
        <v>138</v>
      </c>
      <c r="B74" t="s">
        <v>139</v>
      </c>
      <c r="C74">
        <v>39</v>
      </c>
      <c r="D74" t="s">
        <v>5</v>
      </c>
      <c r="E74">
        <v>7401.9777777777781</v>
      </c>
      <c r="F74">
        <v>288677.13333333342</v>
      </c>
    </row>
    <row r="75" spans="1:6" x14ac:dyDescent="0.35">
      <c r="A75" t="s">
        <v>140</v>
      </c>
      <c r="B75" t="s">
        <v>141</v>
      </c>
      <c r="C75">
        <v>10</v>
      </c>
      <c r="D75" t="s">
        <v>2</v>
      </c>
      <c r="E75">
        <v>28806.400000000001</v>
      </c>
      <c r="F75">
        <v>288064</v>
      </c>
    </row>
    <row r="76" spans="1:6" x14ac:dyDescent="0.35">
      <c r="A76" t="s">
        <v>142</v>
      </c>
      <c r="B76" t="s">
        <v>52</v>
      </c>
      <c r="C76">
        <v>4</v>
      </c>
      <c r="D76" t="s">
        <v>2</v>
      </c>
      <c r="E76">
        <v>71662.791666666672</v>
      </c>
      <c r="F76">
        <v>286651.16666666669</v>
      </c>
    </row>
    <row r="77" spans="1:6" x14ac:dyDescent="0.35">
      <c r="A77" t="s">
        <v>143</v>
      </c>
      <c r="B77" t="s">
        <v>144</v>
      </c>
      <c r="C77">
        <v>6</v>
      </c>
      <c r="D77" t="s">
        <v>2</v>
      </c>
      <c r="E77">
        <v>47676.644859813081</v>
      </c>
      <c r="F77">
        <v>286059.86915887852</v>
      </c>
    </row>
    <row r="78" spans="1:6" x14ac:dyDescent="0.35">
      <c r="A78" t="s">
        <v>145</v>
      </c>
      <c r="B78" t="s">
        <v>58</v>
      </c>
      <c r="C78">
        <v>50</v>
      </c>
      <c r="D78" t="s">
        <v>2</v>
      </c>
      <c r="E78">
        <v>5280</v>
      </c>
      <c r="F78">
        <v>264000</v>
      </c>
    </row>
    <row r="79" spans="1:6" x14ac:dyDescent="0.35">
      <c r="A79" t="s">
        <v>146</v>
      </c>
      <c r="B79" t="s">
        <v>147</v>
      </c>
      <c r="C79">
        <v>1</v>
      </c>
      <c r="D79" t="s">
        <v>5</v>
      </c>
      <c r="E79">
        <v>262764</v>
      </c>
      <c r="F79">
        <v>262764</v>
      </c>
    </row>
    <row r="80" spans="1:6" x14ac:dyDescent="0.35">
      <c r="A80" t="s">
        <v>148</v>
      </c>
      <c r="B80" t="s">
        <v>149</v>
      </c>
      <c r="C80">
        <v>1</v>
      </c>
      <c r="D80" t="s">
        <v>2</v>
      </c>
      <c r="E80">
        <v>262742.83333333331</v>
      </c>
      <c r="F80">
        <v>262742.83333333331</v>
      </c>
    </row>
    <row r="81" spans="1:6" x14ac:dyDescent="0.35">
      <c r="A81" t="s">
        <v>150</v>
      </c>
      <c r="B81" t="s">
        <v>151</v>
      </c>
      <c r="C81">
        <v>2</v>
      </c>
      <c r="D81" t="s">
        <v>2</v>
      </c>
      <c r="E81">
        <v>130572.5</v>
      </c>
      <c r="F81">
        <v>261145</v>
      </c>
    </row>
    <row r="82" spans="1:6" x14ac:dyDescent="0.35">
      <c r="A82" t="s">
        <v>152</v>
      </c>
      <c r="B82" t="s">
        <v>153</v>
      </c>
      <c r="C82">
        <v>17</v>
      </c>
      <c r="D82" t="s">
        <v>2</v>
      </c>
      <c r="E82">
        <v>14960</v>
      </c>
      <c r="F82">
        <v>254320</v>
      </c>
    </row>
    <row r="83" spans="1:6" x14ac:dyDescent="0.35">
      <c r="A83" t="s">
        <v>154</v>
      </c>
      <c r="B83" t="s">
        <v>118</v>
      </c>
      <c r="C83">
        <v>2</v>
      </c>
      <c r="D83" t="s">
        <v>5</v>
      </c>
      <c r="E83">
        <v>126089.9310344828</v>
      </c>
      <c r="F83">
        <v>252179.86206896551</v>
      </c>
    </row>
    <row r="84" spans="1:6" x14ac:dyDescent="0.35">
      <c r="A84" t="s">
        <v>155</v>
      </c>
      <c r="B84" t="s">
        <v>156</v>
      </c>
      <c r="C84">
        <v>2</v>
      </c>
      <c r="D84" t="s">
        <v>2</v>
      </c>
      <c r="E84">
        <v>123807</v>
      </c>
      <c r="F84">
        <v>247614</v>
      </c>
    </row>
    <row r="85" spans="1:6" x14ac:dyDescent="0.35">
      <c r="A85" t="s">
        <v>157</v>
      </c>
      <c r="B85" t="s">
        <v>158</v>
      </c>
      <c r="C85">
        <v>5</v>
      </c>
      <c r="D85" t="s">
        <v>2</v>
      </c>
      <c r="E85">
        <v>48471</v>
      </c>
      <c r="F85">
        <v>242355</v>
      </c>
    </row>
    <row r="86" spans="1:6" x14ac:dyDescent="0.35">
      <c r="A86" t="s">
        <v>159</v>
      </c>
      <c r="B86" t="s">
        <v>11</v>
      </c>
      <c r="C86">
        <v>2</v>
      </c>
      <c r="D86" t="s">
        <v>5</v>
      </c>
      <c r="E86">
        <v>117022.39999999999</v>
      </c>
      <c r="F86">
        <v>234044.79999999999</v>
      </c>
    </row>
    <row r="87" spans="1:6" x14ac:dyDescent="0.35">
      <c r="A87" t="s">
        <v>160</v>
      </c>
      <c r="B87" t="s">
        <v>161</v>
      </c>
      <c r="C87">
        <v>7</v>
      </c>
      <c r="D87" t="s">
        <v>5</v>
      </c>
      <c r="E87">
        <v>33409.701570680627</v>
      </c>
      <c r="F87">
        <v>233867.91099476439</v>
      </c>
    </row>
    <row r="88" spans="1:6" x14ac:dyDescent="0.35">
      <c r="A88" t="s">
        <v>162</v>
      </c>
      <c r="B88" t="s">
        <v>163</v>
      </c>
      <c r="C88">
        <v>14</v>
      </c>
      <c r="D88" t="s">
        <v>2</v>
      </c>
      <c r="E88">
        <v>16448.071428571431</v>
      </c>
      <c r="F88">
        <v>230273</v>
      </c>
    </row>
    <row r="89" spans="1:6" x14ac:dyDescent="0.35">
      <c r="A89" t="s">
        <v>164</v>
      </c>
      <c r="B89" t="s">
        <v>165</v>
      </c>
      <c r="C89">
        <v>2</v>
      </c>
      <c r="D89" t="s">
        <v>2</v>
      </c>
      <c r="E89">
        <v>113439</v>
      </c>
      <c r="F89">
        <v>226878</v>
      </c>
    </row>
    <row r="90" spans="1:6" x14ac:dyDescent="0.35">
      <c r="A90" t="s">
        <v>166</v>
      </c>
      <c r="B90" t="s">
        <v>167</v>
      </c>
      <c r="C90">
        <v>60</v>
      </c>
      <c r="D90" t="s">
        <v>5</v>
      </c>
      <c r="E90">
        <v>3757.6081081081079</v>
      </c>
      <c r="F90">
        <v>225456.48648648651</v>
      </c>
    </row>
    <row r="91" spans="1:6" x14ac:dyDescent="0.35">
      <c r="A91" t="s">
        <v>168</v>
      </c>
      <c r="B91" t="s">
        <v>169</v>
      </c>
      <c r="C91">
        <v>213</v>
      </c>
      <c r="D91" t="s">
        <v>5</v>
      </c>
      <c r="E91">
        <v>1056</v>
      </c>
      <c r="F91">
        <v>224928</v>
      </c>
    </row>
    <row r="92" spans="1:6" x14ac:dyDescent="0.35">
      <c r="A92" t="s">
        <v>170</v>
      </c>
      <c r="B92" t="s">
        <v>171</v>
      </c>
      <c r="C92">
        <v>1</v>
      </c>
      <c r="D92" t="s">
        <v>5</v>
      </c>
      <c r="E92">
        <v>212510</v>
      </c>
      <c r="F92">
        <v>212510</v>
      </c>
    </row>
    <row r="93" spans="1:6" x14ac:dyDescent="0.35">
      <c r="A93" t="s">
        <v>172</v>
      </c>
      <c r="B93" t="s">
        <v>173</v>
      </c>
      <c r="C93">
        <v>5</v>
      </c>
      <c r="D93" t="s">
        <v>5</v>
      </c>
      <c r="E93">
        <v>41943.190476190473</v>
      </c>
      <c r="F93">
        <v>209715.9523809524</v>
      </c>
    </row>
    <row r="94" spans="1:6" x14ac:dyDescent="0.35">
      <c r="A94" t="s">
        <v>174</v>
      </c>
      <c r="B94" t="s">
        <v>175</v>
      </c>
      <c r="C94">
        <v>20</v>
      </c>
      <c r="D94" t="s">
        <v>2</v>
      </c>
      <c r="E94">
        <v>10397.799999999999</v>
      </c>
      <c r="F94">
        <v>207956</v>
      </c>
    </row>
    <row r="95" spans="1:6" x14ac:dyDescent="0.35">
      <c r="A95" t="s">
        <v>176</v>
      </c>
      <c r="B95" t="s">
        <v>177</v>
      </c>
      <c r="C95">
        <v>6</v>
      </c>
      <c r="D95" t="s">
        <v>2</v>
      </c>
      <c r="E95">
        <v>34511.294117647063</v>
      </c>
      <c r="F95">
        <v>207067.76470588229</v>
      </c>
    </row>
    <row r="96" spans="1:6" x14ac:dyDescent="0.35">
      <c r="A96" t="s">
        <v>178</v>
      </c>
      <c r="B96" t="s">
        <v>179</v>
      </c>
      <c r="C96">
        <v>61</v>
      </c>
      <c r="D96" t="s">
        <v>5</v>
      </c>
      <c r="E96">
        <v>3375.68</v>
      </c>
      <c r="F96">
        <v>205916.48</v>
      </c>
    </row>
    <row r="97" spans="1:6" x14ac:dyDescent="0.35">
      <c r="A97" t="s">
        <v>180</v>
      </c>
      <c r="B97" t="s">
        <v>181</v>
      </c>
      <c r="C97">
        <v>37</v>
      </c>
      <c r="D97" t="s">
        <v>2</v>
      </c>
      <c r="E97">
        <v>5310.9473684210516</v>
      </c>
      <c r="F97">
        <v>196505.0526315789</v>
      </c>
    </row>
    <row r="98" spans="1:6" x14ac:dyDescent="0.35">
      <c r="A98" t="s">
        <v>182</v>
      </c>
      <c r="B98" t="s">
        <v>183</v>
      </c>
      <c r="C98">
        <v>2</v>
      </c>
      <c r="D98" t="s">
        <v>5</v>
      </c>
      <c r="E98">
        <v>98161.25</v>
      </c>
      <c r="F98">
        <v>196322.5</v>
      </c>
    </row>
    <row r="99" spans="1:6" x14ac:dyDescent="0.35">
      <c r="A99" t="s">
        <v>184</v>
      </c>
      <c r="B99" t="s">
        <v>185</v>
      </c>
      <c r="C99">
        <v>17</v>
      </c>
      <c r="D99" t="s">
        <v>2</v>
      </c>
      <c r="E99">
        <v>11418.88235294118</v>
      </c>
      <c r="F99">
        <v>194121</v>
      </c>
    </row>
    <row r="100" spans="1:6" x14ac:dyDescent="0.35">
      <c r="A100" t="s">
        <v>186</v>
      </c>
      <c r="B100" t="s">
        <v>187</v>
      </c>
      <c r="C100">
        <v>24</v>
      </c>
      <c r="D100" t="s">
        <v>2</v>
      </c>
      <c r="E100">
        <v>7926.25</v>
      </c>
      <c r="F100">
        <v>190230</v>
      </c>
    </row>
    <row r="101" spans="1:6" x14ac:dyDescent="0.35">
      <c r="A101" t="s">
        <v>188</v>
      </c>
      <c r="B101" t="s">
        <v>189</v>
      </c>
      <c r="C101">
        <v>1</v>
      </c>
      <c r="D101" t="s">
        <v>5</v>
      </c>
      <c r="E101">
        <v>189150.71428571429</v>
      </c>
      <c r="F101">
        <v>189150.71428571429</v>
      </c>
    </row>
    <row r="102" spans="1:6" x14ac:dyDescent="0.35">
      <c r="A102" t="s">
        <v>190</v>
      </c>
      <c r="B102" t="s">
        <v>191</v>
      </c>
      <c r="C102">
        <v>193</v>
      </c>
      <c r="D102" t="s">
        <v>2</v>
      </c>
      <c r="E102">
        <v>939.34743589743584</v>
      </c>
      <c r="F102">
        <v>181294.0551282051</v>
      </c>
    </row>
    <row r="103" spans="1:6" x14ac:dyDescent="0.35">
      <c r="A103" t="s">
        <v>192</v>
      </c>
      <c r="B103" t="s">
        <v>193</v>
      </c>
      <c r="C103">
        <v>80</v>
      </c>
      <c r="D103" t="s">
        <v>2</v>
      </c>
      <c r="E103">
        <v>2262.160682754562</v>
      </c>
      <c r="F103">
        <v>180972.8546203649</v>
      </c>
    </row>
    <row r="104" spans="1:6" x14ac:dyDescent="0.35">
      <c r="A104" t="s">
        <v>194</v>
      </c>
      <c r="B104" t="s">
        <v>195</v>
      </c>
      <c r="C104">
        <v>24</v>
      </c>
      <c r="D104" t="s">
        <v>2</v>
      </c>
      <c r="E104">
        <v>7477.25</v>
      </c>
      <c r="F104">
        <v>179454</v>
      </c>
    </row>
    <row r="105" spans="1:6" x14ac:dyDescent="0.35">
      <c r="A105" t="s">
        <v>196</v>
      </c>
      <c r="B105" t="s">
        <v>197</v>
      </c>
      <c r="C105">
        <v>25</v>
      </c>
      <c r="D105" t="s">
        <v>2</v>
      </c>
      <c r="E105">
        <v>7094.56</v>
      </c>
      <c r="F105">
        <v>177364</v>
      </c>
    </row>
    <row r="106" spans="1:6" x14ac:dyDescent="0.35">
      <c r="A106" t="s">
        <v>198</v>
      </c>
      <c r="B106" t="s">
        <v>199</v>
      </c>
      <c r="C106">
        <v>51</v>
      </c>
      <c r="D106" t="s">
        <v>2</v>
      </c>
      <c r="E106">
        <v>3450.960784313726</v>
      </c>
      <c r="F106">
        <v>175999</v>
      </c>
    </row>
    <row r="107" spans="1:6" x14ac:dyDescent="0.35">
      <c r="A107" t="s">
        <v>200</v>
      </c>
      <c r="B107" t="s">
        <v>201</v>
      </c>
      <c r="C107">
        <v>4</v>
      </c>
      <c r="D107" t="s">
        <v>2</v>
      </c>
      <c r="E107">
        <v>42179.75</v>
      </c>
      <c r="F107">
        <v>168719</v>
      </c>
    </row>
    <row r="108" spans="1:6" x14ac:dyDescent="0.35">
      <c r="A108" t="s">
        <v>202</v>
      </c>
      <c r="B108" t="s">
        <v>203</v>
      </c>
      <c r="C108">
        <v>1</v>
      </c>
      <c r="D108" t="s">
        <v>2</v>
      </c>
      <c r="E108">
        <v>166485</v>
      </c>
      <c r="F108">
        <v>166485</v>
      </c>
    </row>
    <row r="109" spans="1:6" x14ac:dyDescent="0.35">
      <c r="A109" t="s">
        <v>204</v>
      </c>
      <c r="B109" t="s">
        <v>205</v>
      </c>
      <c r="C109">
        <v>111</v>
      </c>
      <c r="D109" t="s">
        <v>5</v>
      </c>
      <c r="E109">
        <v>1474.486486486486</v>
      </c>
      <c r="F109">
        <v>163668</v>
      </c>
    </row>
    <row r="110" spans="1:6" x14ac:dyDescent="0.35">
      <c r="A110" t="s">
        <v>206</v>
      </c>
      <c r="B110" t="s">
        <v>207</v>
      </c>
      <c r="C110">
        <v>10</v>
      </c>
      <c r="D110" t="s">
        <v>2</v>
      </c>
      <c r="E110">
        <v>16051.2</v>
      </c>
      <c r="F110">
        <v>160512</v>
      </c>
    </row>
    <row r="111" spans="1:6" x14ac:dyDescent="0.35">
      <c r="A111" t="s">
        <v>208</v>
      </c>
      <c r="B111" t="s">
        <v>209</v>
      </c>
      <c r="C111">
        <v>17</v>
      </c>
      <c r="D111" t="s">
        <v>5</v>
      </c>
      <c r="E111">
        <v>9395.773109243697</v>
      </c>
      <c r="F111">
        <v>159728.14285714281</v>
      </c>
    </row>
    <row r="112" spans="1:6" x14ac:dyDescent="0.35">
      <c r="A112" t="s">
        <v>210</v>
      </c>
      <c r="B112" t="s">
        <v>211</v>
      </c>
      <c r="C112">
        <v>40</v>
      </c>
      <c r="D112" t="s">
        <v>2</v>
      </c>
      <c r="E112">
        <v>3960</v>
      </c>
      <c r="F112">
        <v>158400</v>
      </c>
    </row>
    <row r="113" spans="1:6" x14ac:dyDescent="0.35">
      <c r="A113" t="s">
        <v>212</v>
      </c>
      <c r="B113" t="s">
        <v>213</v>
      </c>
      <c r="C113">
        <v>11</v>
      </c>
      <c r="D113" t="s">
        <v>2</v>
      </c>
      <c r="E113">
        <v>14100.72727272727</v>
      </c>
      <c r="F113">
        <v>155108</v>
      </c>
    </row>
    <row r="114" spans="1:6" x14ac:dyDescent="0.35">
      <c r="A114" t="s">
        <v>214</v>
      </c>
      <c r="B114" t="s">
        <v>215</v>
      </c>
      <c r="C114">
        <v>70</v>
      </c>
      <c r="D114" t="s">
        <v>5</v>
      </c>
      <c r="E114">
        <v>2188.6142857142859</v>
      </c>
      <c r="F114">
        <v>153203</v>
      </c>
    </row>
    <row r="115" spans="1:6" x14ac:dyDescent="0.35">
      <c r="A115" t="s">
        <v>216</v>
      </c>
      <c r="B115" t="s">
        <v>217</v>
      </c>
      <c r="C115">
        <v>1</v>
      </c>
      <c r="D115" t="s">
        <v>5</v>
      </c>
      <c r="E115">
        <v>152316</v>
      </c>
      <c r="F115">
        <v>152316</v>
      </c>
    </row>
    <row r="116" spans="1:6" x14ac:dyDescent="0.35">
      <c r="A116" t="s">
        <v>218</v>
      </c>
      <c r="B116" t="s">
        <v>219</v>
      </c>
      <c r="C116">
        <v>80</v>
      </c>
      <c r="D116" t="s">
        <v>5</v>
      </c>
      <c r="E116">
        <v>1881.2125000000001</v>
      </c>
      <c r="F116">
        <v>150497</v>
      </c>
    </row>
    <row r="117" spans="1:6" x14ac:dyDescent="0.35">
      <c r="A117" t="s">
        <v>220</v>
      </c>
      <c r="B117" t="s">
        <v>221</v>
      </c>
      <c r="C117">
        <v>12</v>
      </c>
      <c r="D117" t="s">
        <v>5</v>
      </c>
      <c r="E117">
        <v>11416.25</v>
      </c>
      <c r="F117">
        <v>136995</v>
      </c>
    </row>
    <row r="118" spans="1:6" x14ac:dyDescent="0.35">
      <c r="A118" t="s">
        <v>222</v>
      </c>
      <c r="B118" t="s">
        <v>223</v>
      </c>
      <c r="C118">
        <v>23</v>
      </c>
      <c r="D118" t="s">
        <v>5</v>
      </c>
      <c r="E118">
        <v>5710.3170731707314</v>
      </c>
      <c r="F118">
        <v>131337.29268292681</v>
      </c>
    </row>
    <row r="119" spans="1:6" x14ac:dyDescent="0.35">
      <c r="A119" t="s">
        <v>224</v>
      </c>
      <c r="B119" t="s">
        <v>225</v>
      </c>
      <c r="C119">
        <v>1</v>
      </c>
      <c r="D119" t="s">
        <v>2</v>
      </c>
      <c r="E119">
        <v>131150</v>
      </c>
      <c r="F119">
        <v>131150</v>
      </c>
    </row>
    <row r="120" spans="1:6" x14ac:dyDescent="0.35">
      <c r="A120" t="s">
        <v>226</v>
      </c>
      <c r="B120" t="s">
        <v>227</v>
      </c>
      <c r="C120">
        <v>1</v>
      </c>
      <c r="D120" t="s">
        <v>2</v>
      </c>
      <c r="E120">
        <v>131150</v>
      </c>
      <c r="F120">
        <v>131150</v>
      </c>
    </row>
    <row r="121" spans="1:6" x14ac:dyDescent="0.35">
      <c r="A121" t="s">
        <v>228</v>
      </c>
      <c r="B121" t="s">
        <v>229</v>
      </c>
      <c r="C121">
        <v>1</v>
      </c>
      <c r="D121" t="s">
        <v>2</v>
      </c>
      <c r="E121">
        <v>131150</v>
      </c>
      <c r="F121">
        <v>131150</v>
      </c>
    </row>
    <row r="122" spans="1:6" x14ac:dyDescent="0.35">
      <c r="A122" t="s">
        <v>230</v>
      </c>
      <c r="B122" t="s">
        <v>231</v>
      </c>
      <c r="C122">
        <v>1</v>
      </c>
      <c r="D122" t="s">
        <v>2</v>
      </c>
      <c r="E122">
        <v>131150</v>
      </c>
      <c r="F122">
        <v>131150</v>
      </c>
    </row>
    <row r="123" spans="1:6" x14ac:dyDescent="0.35">
      <c r="A123" t="s">
        <v>232</v>
      </c>
      <c r="B123" t="s">
        <v>233</v>
      </c>
      <c r="C123">
        <v>1</v>
      </c>
      <c r="D123" t="s">
        <v>2</v>
      </c>
      <c r="E123">
        <v>131150</v>
      </c>
      <c r="F123">
        <v>131150</v>
      </c>
    </row>
    <row r="124" spans="1:6" x14ac:dyDescent="0.35">
      <c r="A124" t="s">
        <v>234</v>
      </c>
      <c r="B124" t="s">
        <v>27</v>
      </c>
      <c r="C124">
        <v>1</v>
      </c>
      <c r="D124" t="s">
        <v>2</v>
      </c>
      <c r="E124">
        <v>127428.25</v>
      </c>
      <c r="F124">
        <v>127428.25</v>
      </c>
    </row>
    <row r="125" spans="1:6" x14ac:dyDescent="0.35">
      <c r="A125" t="s">
        <v>235</v>
      </c>
      <c r="B125" t="s">
        <v>236</v>
      </c>
      <c r="C125">
        <v>25</v>
      </c>
      <c r="D125" t="s">
        <v>2</v>
      </c>
      <c r="E125">
        <v>5083.5600000000004</v>
      </c>
      <c r="F125">
        <v>127089</v>
      </c>
    </row>
    <row r="126" spans="1:6" x14ac:dyDescent="0.35">
      <c r="A126" t="s">
        <v>237</v>
      </c>
      <c r="B126" t="s">
        <v>238</v>
      </c>
      <c r="C126">
        <v>15</v>
      </c>
      <c r="D126" t="s">
        <v>5</v>
      </c>
      <c r="E126">
        <v>8455.5909090909099</v>
      </c>
      <c r="F126">
        <v>126833.8636363636</v>
      </c>
    </row>
    <row r="127" spans="1:6" x14ac:dyDescent="0.35">
      <c r="A127" t="s">
        <v>239</v>
      </c>
      <c r="B127" t="s">
        <v>118</v>
      </c>
      <c r="C127">
        <v>1</v>
      </c>
      <c r="D127" t="s">
        <v>5</v>
      </c>
      <c r="E127">
        <v>126089.9310344828</v>
      </c>
      <c r="F127">
        <v>126089.9310344828</v>
      </c>
    </row>
    <row r="128" spans="1:6" x14ac:dyDescent="0.35">
      <c r="A128" t="s">
        <v>240</v>
      </c>
      <c r="B128" t="s">
        <v>241</v>
      </c>
      <c r="C128">
        <v>2</v>
      </c>
      <c r="D128" t="s">
        <v>5</v>
      </c>
      <c r="E128">
        <v>62763</v>
      </c>
      <c r="F128">
        <v>125526</v>
      </c>
    </row>
    <row r="129" spans="1:6" x14ac:dyDescent="0.35">
      <c r="A129" t="s">
        <v>242</v>
      </c>
      <c r="B129" t="s">
        <v>243</v>
      </c>
      <c r="C129">
        <v>2</v>
      </c>
      <c r="D129" t="s">
        <v>2</v>
      </c>
      <c r="E129">
        <v>62692.5</v>
      </c>
      <c r="F129">
        <v>125385</v>
      </c>
    </row>
    <row r="130" spans="1:6" x14ac:dyDescent="0.35">
      <c r="A130" t="s">
        <v>244</v>
      </c>
      <c r="B130" t="s">
        <v>245</v>
      </c>
      <c r="C130">
        <v>22</v>
      </c>
      <c r="D130" t="s">
        <v>2</v>
      </c>
      <c r="E130">
        <v>5529.045454545455</v>
      </c>
      <c r="F130">
        <v>121639</v>
      </c>
    </row>
    <row r="131" spans="1:6" x14ac:dyDescent="0.35">
      <c r="A131" t="s">
        <v>246</v>
      </c>
      <c r="B131" t="s">
        <v>247</v>
      </c>
      <c r="C131">
        <v>7</v>
      </c>
      <c r="D131" t="s">
        <v>2</v>
      </c>
      <c r="E131">
        <v>17220.71428571429</v>
      </c>
      <c r="F131">
        <v>120545</v>
      </c>
    </row>
    <row r="132" spans="1:6" x14ac:dyDescent="0.35">
      <c r="A132" t="s">
        <v>248</v>
      </c>
      <c r="B132" t="s">
        <v>249</v>
      </c>
      <c r="C132">
        <v>12</v>
      </c>
      <c r="D132" t="s">
        <v>5</v>
      </c>
      <c r="E132">
        <v>9964.21052631579</v>
      </c>
      <c r="F132">
        <v>119570.5263157895</v>
      </c>
    </row>
    <row r="133" spans="1:6" x14ac:dyDescent="0.35">
      <c r="A133" t="s">
        <v>250</v>
      </c>
      <c r="B133" t="s">
        <v>251</v>
      </c>
      <c r="C133">
        <v>18</v>
      </c>
      <c r="D133" t="s">
        <v>2</v>
      </c>
      <c r="E133">
        <v>6627.5555555555557</v>
      </c>
      <c r="F133">
        <v>119296</v>
      </c>
    </row>
    <row r="134" spans="1:6" x14ac:dyDescent="0.35">
      <c r="A134" t="s">
        <v>252</v>
      </c>
      <c r="B134" t="s">
        <v>253</v>
      </c>
      <c r="C134">
        <v>255</v>
      </c>
      <c r="D134" t="s">
        <v>5</v>
      </c>
      <c r="E134">
        <v>458.41960784313733</v>
      </c>
      <c r="F134">
        <v>116897</v>
      </c>
    </row>
    <row r="135" spans="1:6" x14ac:dyDescent="0.35">
      <c r="A135" t="s">
        <v>254</v>
      </c>
      <c r="B135" t="s">
        <v>255</v>
      </c>
      <c r="C135">
        <v>18</v>
      </c>
      <c r="D135" t="s">
        <v>5</v>
      </c>
      <c r="E135">
        <v>6335.0952380952394</v>
      </c>
      <c r="F135">
        <v>114031.7142857143</v>
      </c>
    </row>
    <row r="136" spans="1:6" x14ac:dyDescent="0.35">
      <c r="A136" t="s">
        <v>256</v>
      </c>
      <c r="B136" t="s">
        <v>257</v>
      </c>
      <c r="C136">
        <v>25</v>
      </c>
      <c r="D136" t="s">
        <v>2</v>
      </c>
      <c r="E136">
        <v>4524.0810810810808</v>
      </c>
      <c r="F136">
        <v>113102.027027027</v>
      </c>
    </row>
    <row r="137" spans="1:6" x14ac:dyDescent="0.35">
      <c r="A137" t="s">
        <v>258</v>
      </c>
      <c r="B137" t="s">
        <v>259</v>
      </c>
      <c r="C137">
        <v>82</v>
      </c>
      <c r="D137" t="s">
        <v>5</v>
      </c>
      <c r="E137">
        <v>1351.4024390243901</v>
      </c>
      <c r="F137">
        <v>110815</v>
      </c>
    </row>
    <row r="138" spans="1:6" x14ac:dyDescent="0.35">
      <c r="A138" t="s">
        <v>260</v>
      </c>
      <c r="B138" t="s">
        <v>261</v>
      </c>
      <c r="C138">
        <v>19</v>
      </c>
      <c r="D138" t="s">
        <v>2</v>
      </c>
      <c r="E138">
        <v>5784.4736842105267</v>
      </c>
      <c r="F138">
        <v>109905</v>
      </c>
    </row>
    <row r="139" spans="1:6" x14ac:dyDescent="0.35">
      <c r="A139" t="s">
        <v>262</v>
      </c>
      <c r="B139" t="s">
        <v>263</v>
      </c>
      <c r="C139">
        <v>50</v>
      </c>
      <c r="D139" t="s">
        <v>2</v>
      </c>
      <c r="E139">
        <v>2188.6181818181822</v>
      </c>
      <c r="F139">
        <v>109430.9090909091</v>
      </c>
    </row>
    <row r="140" spans="1:6" x14ac:dyDescent="0.35">
      <c r="A140" t="s">
        <v>264</v>
      </c>
      <c r="B140" t="s">
        <v>265</v>
      </c>
      <c r="C140">
        <v>12</v>
      </c>
      <c r="D140" t="s">
        <v>2</v>
      </c>
      <c r="E140">
        <v>9102.75</v>
      </c>
      <c r="F140">
        <v>109233</v>
      </c>
    </row>
    <row r="141" spans="1:6" x14ac:dyDescent="0.35">
      <c r="A141" t="s">
        <v>266</v>
      </c>
      <c r="B141" t="s">
        <v>267</v>
      </c>
      <c r="C141">
        <v>10</v>
      </c>
      <c r="D141" t="s">
        <v>2</v>
      </c>
      <c r="E141">
        <v>10715.294117647059</v>
      </c>
      <c r="F141">
        <v>107152.9411764706</v>
      </c>
    </row>
    <row r="142" spans="1:6" x14ac:dyDescent="0.35">
      <c r="A142" t="s">
        <v>268</v>
      </c>
      <c r="B142" t="s">
        <v>269</v>
      </c>
      <c r="C142">
        <v>27</v>
      </c>
      <c r="D142" t="s">
        <v>5</v>
      </c>
      <c r="E142">
        <v>3960</v>
      </c>
      <c r="F142">
        <v>106920</v>
      </c>
    </row>
    <row r="143" spans="1:6" x14ac:dyDescent="0.35">
      <c r="A143" t="s">
        <v>270</v>
      </c>
      <c r="B143" t="s">
        <v>271</v>
      </c>
      <c r="C143">
        <v>1</v>
      </c>
      <c r="D143" t="s">
        <v>2</v>
      </c>
      <c r="E143">
        <v>105694</v>
      </c>
      <c r="F143">
        <v>105694</v>
      </c>
    </row>
    <row r="144" spans="1:6" x14ac:dyDescent="0.35">
      <c r="A144" t="s">
        <v>272</v>
      </c>
      <c r="B144" t="s">
        <v>273</v>
      </c>
      <c r="C144">
        <v>1</v>
      </c>
      <c r="D144" t="s">
        <v>2</v>
      </c>
      <c r="E144">
        <v>105600</v>
      </c>
      <c r="F144">
        <v>105600</v>
      </c>
    </row>
    <row r="145" spans="1:6" x14ac:dyDescent="0.35">
      <c r="A145" t="s">
        <v>274</v>
      </c>
      <c r="B145" t="s">
        <v>92</v>
      </c>
      <c r="C145">
        <v>10</v>
      </c>
      <c r="D145" t="s">
        <v>5</v>
      </c>
      <c r="E145">
        <v>10470.803571428571</v>
      </c>
      <c r="F145">
        <v>104708.0357142857</v>
      </c>
    </row>
    <row r="146" spans="1:6" x14ac:dyDescent="0.35">
      <c r="A146" t="s">
        <v>275</v>
      </c>
      <c r="B146" t="s">
        <v>276</v>
      </c>
      <c r="C146">
        <v>132</v>
      </c>
      <c r="D146" t="s">
        <v>2</v>
      </c>
      <c r="E146">
        <v>792.68390039916369</v>
      </c>
      <c r="F146">
        <v>104634.2748526896</v>
      </c>
    </row>
    <row r="147" spans="1:6" x14ac:dyDescent="0.35">
      <c r="A147" t="s">
        <v>277</v>
      </c>
      <c r="B147" t="s">
        <v>278</v>
      </c>
      <c r="C147">
        <v>7</v>
      </c>
      <c r="D147" t="s">
        <v>2</v>
      </c>
      <c r="E147">
        <v>14818.71428571429</v>
      </c>
      <c r="F147">
        <v>103731</v>
      </c>
    </row>
    <row r="148" spans="1:6" x14ac:dyDescent="0.35">
      <c r="A148" t="s">
        <v>279</v>
      </c>
      <c r="B148" t="s">
        <v>280</v>
      </c>
      <c r="C148">
        <v>19</v>
      </c>
      <c r="D148" t="s">
        <v>2</v>
      </c>
      <c r="E148">
        <v>5432.2631578947367</v>
      </c>
      <c r="F148">
        <v>103213</v>
      </c>
    </row>
    <row r="149" spans="1:6" x14ac:dyDescent="0.35">
      <c r="A149" t="s">
        <v>281</v>
      </c>
      <c r="B149" t="s">
        <v>282</v>
      </c>
      <c r="C149">
        <v>11</v>
      </c>
      <c r="D149" t="s">
        <v>2</v>
      </c>
      <c r="E149">
        <v>9312.2727272727279</v>
      </c>
      <c r="F149">
        <v>102435</v>
      </c>
    </row>
    <row r="150" spans="1:6" x14ac:dyDescent="0.35">
      <c r="A150" t="s">
        <v>283</v>
      </c>
      <c r="B150" t="s">
        <v>284</v>
      </c>
      <c r="C150">
        <v>6</v>
      </c>
      <c r="D150" t="s">
        <v>2</v>
      </c>
      <c r="E150">
        <v>16735.833333333328</v>
      </c>
      <c r="F150">
        <v>100415</v>
      </c>
    </row>
    <row r="151" spans="1:6" x14ac:dyDescent="0.35">
      <c r="A151" t="s">
        <v>285</v>
      </c>
      <c r="B151" t="s">
        <v>286</v>
      </c>
      <c r="C151">
        <v>10</v>
      </c>
      <c r="D151" t="s">
        <v>2</v>
      </c>
      <c r="E151">
        <v>9973.2000000000007</v>
      </c>
      <c r="F151">
        <v>99732</v>
      </c>
    </row>
    <row r="152" spans="1:6" x14ac:dyDescent="0.35">
      <c r="A152" t="s">
        <v>287</v>
      </c>
      <c r="B152" t="s">
        <v>288</v>
      </c>
      <c r="C152">
        <v>10</v>
      </c>
      <c r="D152" t="s">
        <v>5</v>
      </c>
      <c r="E152">
        <v>9881.136363636364</v>
      </c>
      <c r="F152">
        <v>98811.363636363647</v>
      </c>
    </row>
    <row r="153" spans="1:6" x14ac:dyDescent="0.35">
      <c r="A153" t="s">
        <v>289</v>
      </c>
      <c r="B153" t="s">
        <v>290</v>
      </c>
      <c r="C153">
        <v>2</v>
      </c>
      <c r="D153" t="s">
        <v>2</v>
      </c>
      <c r="E153">
        <v>49399.5</v>
      </c>
      <c r="F153">
        <v>98799</v>
      </c>
    </row>
    <row r="154" spans="1:6" x14ac:dyDescent="0.35">
      <c r="A154" t="s">
        <v>291</v>
      </c>
      <c r="B154" t="s">
        <v>292</v>
      </c>
      <c r="C154">
        <v>1</v>
      </c>
      <c r="D154" t="s">
        <v>2</v>
      </c>
      <c r="E154">
        <v>96881</v>
      </c>
      <c r="F154">
        <v>96881</v>
      </c>
    </row>
    <row r="155" spans="1:6" x14ac:dyDescent="0.35">
      <c r="A155" t="s">
        <v>293</v>
      </c>
      <c r="B155" t="s">
        <v>294</v>
      </c>
      <c r="C155">
        <v>7</v>
      </c>
      <c r="D155" t="s">
        <v>2</v>
      </c>
      <c r="E155">
        <v>13618.857142857139</v>
      </c>
      <c r="F155">
        <v>95332</v>
      </c>
    </row>
    <row r="156" spans="1:6" x14ac:dyDescent="0.35">
      <c r="A156" t="s">
        <v>295</v>
      </c>
      <c r="B156" t="s">
        <v>296</v>
      </c>
      <c r="C156">
        <v>20</v>
      </c>
      <c r="D156" t="s">
        <v>2</v>
      </c>
      <c r="E156">
        <v>4766.1000000000004</v>
      </c>
      <c r="F156">
        <v>95322</v>
      </c>
    </row>
    <row r="157" spans="1:6" x14ac:dyDescent="0.35">
      <c r="A157" t="s">
        <v>297</v>
      </c>
      <c r="B157" t="s">
        <v>298</v>
      </c>
      <c r="C157">
        <v>20</v>
      </c>
      <c r="D157" t="s">
        <v>2</v>
      </c>
      <c r="E157">
        <v>4735.3</v>
      </c>
      <c r="F157">
        <v>94706</v>
      </c>
    </row>
    <row r="158" spans="1:6" x14ac:dyDescent="0.35">
      <c r="A158" t="s">
        <v>299</v>
      </c>
      <c r="B158" t="s">
        <v>300</v>
      </c>
      <c r="C158">
        <v>50</v>
      </c>
      <c r="D158" t="s">
        <v>2</v>
      </c>
      <c r="E158">
        <v>1881.22</v>
      </c>
      <c r="F158">
        <v>94061</v>
      </c>
    </row>
    <row r="159" spans="1:6" x14ac:dyDescent="0.35">
      <c r="A159" t="s">
        <v>301</v>
      </c>
      <c r="B159" t="s">
        <v>302</v>
      </c>
      <c r="C159">
        <v>4</v>
      </c>
      <c r="D159" t="s">
        <v>2</v>
      </c>
      <c r="E159">
        <v>23292</v>
      </c>
      <c r="F159">
        <v>93168</v>
      </c>
    </row>
    <row r="160" spans="1:6" x14ac:dyDescent="0.35">
      <c r="A160" t="s">
        <v>303</v>
      </c>
      <c r="B160" t="s">
        <v>304</v>
      </c>
      <c r="C160">
        <v>4</v>
      </c>
      <c r="D160" t="s">
        <v>2</v>
      </c>
      <c r="E160">
        <v>22725</v>
      </c>
      <c r="F160">
        <v>90900</v>
      </c>
    </row>
    <row r="161" spans="1:6" x14ac:dyDescent="0.35">
      <c r="A161" t="s">
        <v>305</v>
      </c>
      <c r="B161" t="s">
        <v>306</v>
      </c>
      <c r="C161">
        <v>10</v>
      </c>
      <c r="D161" t="s">
        <v>2</v>
      </c>
      <c r="E161">
        <v>8889.8333333333339</v>
      </c>
      <c r="F161">
        <v>88898.333333333343</v>
      </c>
    </row>
    <row r="162" spans="1:6" x14ac:dyDescent="0.35">
      <c r="A162" t="s">
        <v>307</v>
      </c>
      <c r="B162" t="s">
        <v>308</v>
      </c>
      <c r="C162">
        <v>18</v>
      </c>
      <c r="D162" t="s">
        <v>5</v>
      </c>
      <c r="E162">
        <v>4891.666666666667</v>
      </c>
      <c r="F162">
        <v>88050</v>
      </c>
    </row>
    <row r="163" spans="1:6" x14ac:dyDescent="0.35">
      <c r="A163" t="s">
        <v>309</v>
      </c>
      <c r="B163" t="s">
        <v>310</v>
      </c>
      <c r="C163">
        <v>40</v>
      </c>
      <c r="D163" t="s">
        <v>2</v>
      </c>
      <c r="E163">
        <v>2127.8370044052858</v>
      </c>
      <c r="F163">
        <v>85113.480176211451</v>
      </c>
    </row>
    <row r="164" spans="1:6" x14ac:dyDescent="0.35">
      <c r="A164" t="s">
        <v>311</v>
      </c>
      <c r="B164" t="s">
        <v>312</v>
      </c>
      <c r="C164">
        <v>3</v>
      </c>
      <c r="D164" t="s">
        <v>5</v>
      </c>
      <c r="E164">
        <v>28135.75</v>
      </c>
      <c r="F164">
        <v>84407.25</v>
      </c>
    </row>
    <row r="165" spans="1:6" x14ac:dyDescent="0.35">
      <c r="A165" t="s">
        <v>313</v>
      </c>
      <c r="B165" t="s">
        <v>314</v>
      </c>
      <c r="C165">
        <v>20</v>
      </c>
      <c r="D165" t="s">
        <v>2</v>
      </c>
      <c r="E165">
        <v>4218.7</v>
      </c>
      <c r="F165">
        <v>84374</v>
      </c>
    </row>
    <row r="166" spans="1:6" x14ac:dyDescent="0.35">
      <c r="A166" t="s">
        <v>315</v>
      </c>
      <c r="B166" t="s">
        <v>316</v>
      </c>
      <c r="C166">
        <v>6</v>
      </c>
      <c r="D166" t="s">
        <v>5</v>
      </c>
      <c r="E166">
        <v>14012.16666666667</v>
      </c>
      <c r="F166">
        <v>84073</v>
      </c>
    </row>
    <row r="167" spans="1:6" x14ac:dyDescent="0.35">
      <c r="A167" t="s">
        <v>317</v>
      </c>
      <c r="B167" t="s">
        <v>318</v>
      </c>
      <c r="C167">
        <v>3</v>
      </c>
      <c r="D167" t="s">
        <v>2</v>
      </c>
      <c r="E167">
        <v>28021.599999999999</v>
      </c>
      <c r="F167">
        <v>84064.799999999988</v>
      </c>
    </row>
    <row r="168" spans="1:6" x14ac:dyDescent="0.35">
      <c r="A168" t="s">
        <v>319</v>
      </c>
      <c r="B168" t="s">
        <v>320</v>
      </c>
      <c r="C168">
        <v>2</v>
      </c>
      <c r="D168" t="s">
        <v>5</v>
      </c>
      <c r="E168">
        <v>39715.333333333343</v>
      </c>
      <c r="F168">
        <v>79430.666666666672</v>
      </c>
    </row>
    <row r="169" spans="1:6" x14ac:dyDescent="0.35">
      <c r="A169" t="s">
        <v>321</v>
      </c>
      <c r="B169" t="s">
        <v>322</v>
      </c>
      <c r="C169">
        <v>25</v>
      </c>
      <c r="D169" t="s">
        <v>2</v>
      </c>
      <c r="E169">
        <v>3106.1904761904761</v>
      </c>
      <c r="F169">
        <v>77654.761904761908</v>
      </c>
    </row>
    <row r="170" spans="1:6" x14ac:dyDescent="0.35">
      <c r="A170" t="s">
        <v>323</v>
      </c>
      <c r="B170" t="s">
        <v>324</v>
      </c>
      <c r="C170">
        <v>8</v>
      </c>
      <c r="D170" t="s">
        <v>5</v>
      </c>
      <c r="E170">
        <v>9698.5</v>
      </c>
      <c r="F170">
        <v>77588</v>
      </c>
    </row>
    <row r="171" spans="1:6" x14ac:dyDescent="0.35">
      <c r="A171" t="s">
        <v>325</v>
      </c>
      <c r="B171" t="s">
        <v>326</v>
      </c>
      <c r="C171">
        <v>200</v>
      </c>
      <c r="D171" t="s">
        <v>2</v>
      </c>
      <c r="E171">
        <v>384.12012987012992</v>
      </c>
      <c r="F171">
        <v>76824.025974025979</v>
      </c>
    </row>
    <row r="172" spans="1:6" x14ac:dyDescent="0.35">
      <c r="A172" t="s">
        <v>327</v>
      </c>
      <c r="B172" t="s">
        <v>238</v>
      </c>
      <c r="C172">
        <v>9</v>
      </c>
      <c r="D172" t="s">
        <v>5</v>
      </c>
      <c r="E172">
        <v>8455.5909090909099</v>
      </c>
      <c r="F172">
        <v>76100.318181818191</v>
      </c>
    </row>
    <row r="173" spans="1:6" x14ac:dyDescent="0.35">
      <c r="A173" t="s">
        <v>328</v>
      </c>
      <c r="B173" t="s">
        <v>329</v>
      </c>
      <c r="C173">
        <v>40</v>
      </c>
      <c r="D173" t="s">
        <v>2</v>
      </c>
      <c r="E173">
        <v>1881.2</v>
      </c>
      <c r="F173">
        <v>75248</v>
      </c>
    </row>
    <row r="174" spans="1:6" x14ac:dyDescent="0.35">
      <c r="A174" t="s">
        <v>330</v>
      </c>
      <c r="B174" t="s">
        <v>331</v>
      </c>
      <c r="C174">
        <v>3</v>
      </c>
      <c r="D174" t="s">
        <v>2</v>
      </c>
      <c r="E174">
        <v>24784.3</v>
      </c>
      <c r="F174">
        <v>74352.899999999994</v>
      </c>
    </row>
    <row r="175" spans="1:6" x14ac:dyDescent="0.35">
      <c r="A175" t="s">
        <v>332</v>
      </c>
      <c r="B175" t="s">
        <v>106</v>
      </c>
      <c r="C175">
        <v>20</v>
      </c>
      <c r="D175" t="s">
        <v>2</v>
      </c>
      <c r="E175">
        <v>3649.8</v>
      </c>
      <c r="F175">
        <v>72996</v>
      </c>
    </row>
    <row r="176" spans="1:6" x14ac:dyDescent="0.35">
      <c r="A176" t="s">
        <v>333</v>
      </c>
      <c r="B176" t="s">
        <v>334</v>
      </c>
      <c r="C176">
        <v>10</v>
      </c>
      <c r="D176" t="s">
        <v>2</v>
      </c>
      <c r="E176">
        <v>7263.4</v>
      </c>
      <c r="F176">
        <v>72634</v>
      </c>
    </row>
    <row r="177" spans="1:6" x14ac:dyDescent="0.35">
      <c r="A177" t="s">
        <v>335</v>
      </c>
      <c r="B177" t="s">
        <v>336</v>
      </c>
      <c r="C177">
        <v>12</v>
      </c>
      <c r="D177" t="s">
        <v>5</v>
      </c>
      <c r="E177">
        <v>5941.7714285714283</v>
      </c>
      <c r="F177">
        <v>71301.257142857139</v>
      </c>
    </row>
    <row r="178" spans="1:6" x14ac:dyDescent="0.35">
      <c r="A178" t="s">
        <v>337</v>
      </c>
      <c r="B178" t="s">
        <v>338</v>
      </c>
      <c r="C178">
        <v>6</v>
      </c>
      <c r="D178" t="s">
        <v>2</v>
      </c>
      <c r="E178">
        <v>11804.33333333333</v>
      </c>
      <c r="F178">
        <v>70826</v>
      </c>
    </row>
    <row r="179" spans="1:6" x14ac:dyDescent="0.35">
      <c r="A179" t="s">
        <v>339</v>
      </c>
      <c r="B179" t="s">
        <v>340</v>
      </c>
      <c r="C179">
        <v>2</v>
      </c>
      <c r="D179" t="s">
        <v>2</v>
      </c>
      <c r="E179">
        <v>35269</v>
      </c>
      <c r="F179">
        <v>70538</v>
      </c>
    </row>
    <row r="180" spans="1:6" x14ac:dyDescent="0.35">
      <c r="A180" t="s">
        <v>341</v>
      </c>
      <c r="B180" t="s">
        <v>342</v>
      </c>
      <c r="C180">
        <v>7</v>
      </c>
      <c r="D180" t="s">
        <v>2</v>
      </c>
      <c r="E180">
        <v>9853.1428571428569</v>
      </c>
      <c r="F180">
        <v>68972</v>
      </c>
    </row>
    <row r="181" spans="1:6" x14ac:dyDescent="0.35">
      <c r="A181" t="s">
        <v>343</v>
      </c>
      <c r="B181" t="s">
        <v>344</v>
      </c>
      <c r="C181">
        <v>27</v>
      </c>
      <c r="D181" t="s">
        <v>2</v>
      </c>
      <c r="E181">
        <v>2502.8888888888891</v>
      </c>
      <c r="F181">
        <v>67578</v>
      </c>
    </row>
    <row r="182" spans="1:6" x14ac:dyDescent="0.35">
      <c r="A182" t="s">
        <v>345</v>
      </c>
      <c r="B182" t="s">
        <v>346</v>
      </c>
      <c r="C182">
        <v>40</v>
      </c>
      <c r="D182" t="s">
        <v>5</v>
      </c>
      <c r="E182">
        <v>1685.780487804878</v>
      </c>
      <c r="F182">
        <v>67431.219512195123</v>
      </c>
    </row>
    <row r="183" spans="1:6" x14ac:dyDescent="0.35">
      <c r="A183" t="s">
        <v>347</v>
      </c>
      <c r="B183" t="s">
        <v>348</v>
      </c>
      <c r="C183">
        <v>16</v>
      </c>
      <c r="D183" t="s">
        <v>2</v>
      </c>
      <c r="E183">
        <v>4036.7</v>
      </c>
      <c r="F183">
        <v>64587.199999999997</v>
      </c>
    </row>
    <row r="184" spans="1:6" x14ac:dyDescent="0.35">
      <c r="A184" t="s">
        <v>349</v>
      </c>
      <c r="B184" t="s">
        <v>350</v>
      </c>
      <c r="C184">
        <v>3</v>
      </c>
      <c r="D184" t="s">
        <v>2</v>
      </c>
      <c r="E184">
        <v>21132.333333333328</v>
      </c>
      <c r="F184">
        <v>63397</v>
      </c>
    </row>
    <row r="185" spans="1:6" x14ac:dyDescent="0.35">
      <c r="A185" t="s">
        <v>351</v>
      </c>
      <c r="B185" t="s">
        <v>352</v>
      </c>
      <c r="C185">
        <v>20</v>
      </c>
      <c r="D185" t="s">
        <v>2</v>
      </c>
      <c r="E185">
        <v>3096.8</v>
      </c>
      <c r="F185">
        <v>61936</v>
      </c>
    </row>
    <row r="186" spans="1:6" x14ac:dyDescent="0.35">
      <c r="A186" t="s">
        <v>353</v>
      </c>
      <c r="B186" t="s">
        <v>354</v>
      </c>
      <c r="C186">
        <v>24</v>
      </c>
      <c r="D186" t="s">
        <v>2</v>
      </c>
      <c r="E186">
        <v>2550.6531061022538</v>
      </c>
      <c r="F186">
        <v>61215.674546454087</v>
      </c>
    </row>
    <row r="187" spans="1:6" x14ac:dyDescent="0.35">
      <c r="A187" t="s">
        <v>355</v>
      </c>
      <c r="B187" t="s">
        <v>356</v>
      </c>
      <c r="C187">
        <v>15</v>
      </c>
      <c r="D187" t="s">
        <v>2</v>
      </c>
      <c r="E187">
        <v>4053.0666666666671</v>
      </c>
      <c r="F187">
        <v>60796</v>
      </c>
    </row>
    <row r="188" spans="1:6" x14ac:dyDescent="0.35">
      <c r="A188" t="s">
        <v>357</v>
      </c>
      <c r="B188" t="s">
        <v>358</v>
      </c>
      <c r="C188">
        <v>17</v>
      </c>
      <c r="D188" t="s">
        <v>5</v>
      </c>
      <c r="E188">
        <v>3513.8301886792451</v>
      </c>
      <c r="F188">
        <v>59735.113207547169</v>
      </c>
    </row>
    <row r="189" spans="1:6" x14ac:dyDescent="0.35">
      <c r="A189" t="s">
        <v>359</v>
      </c>
      <c r="B189" t="s">
        <v>360</v>
      </c>
      <c r="C189">
        <v>11</v>
      </c>
      <c r="D189" t="s">
        <v>2</v>
      </c>
      <c r="E189">
        <v>5402.3414634146338</v>
      </c>
      <c r="F189">
        <v>59425.756097560967</v>
      </c>
    </row>
    <row r="190" spans="1:6" x14ac:dyDescent="0.35">
      <c r="A190" t="s">
        <v>361</v>
      </c>
      <c r="B190" t="s">
        <v>362</v>
      </c>
      <c r="C190">
        <v>5</v>
      </c>
      <c r="D190" t="s">
        <v>2</v>
      </c>
      <c r="E190">
        <v>11735.8</v>
      </c>
      <c r="F190">
        <v>58679</v>
      </c>
    </row>
    <row r="191" spans="1:6" x14ac:dyDescent="0.35">
      <c r="A191" t="s">
        <v>363</v>
      </c>
      <c r="B191" t="s">
        <v>364</v>
      </c>
      <c r="C191">
        <v>56</v>
      </c>
      <c r="D191" t="s">
        <v>2</v>
      </c>
      <c r="E191">
        <v>1041.205882352941</v>
      </c>
      <c r="F191">
        <v>58307.529411764714</v>
      </c>
    </row>
    <row r="192" spans="1:6" x14ac:dyDescent="0.35">
      <c r="A192" t="s">
        <v>365</v>
      </c>
      <c r="B192" t="s">
        <v>366</v>
      </c>
      <c r="C192">
        <v>4</v>
      </c>
      <c r="D192" t="s">
        <v>5</v>
      </c>
      <c r="E192">
        <v>14528.793103448281</v>
      </c>
      <c r="F192">
        <v>58115.172413793101</v>
      </c>
    </row>
    <row r="193" spans="1:6" x14ac:dyDescent="0.35">
      <c r="A193" t="s">
        <v>367</v>
      </c>
      <c r="B193" t="s">
        <v>368</v>
      </c>
      <c r="C193">
        <v>30</v>
      </c>
      <c r="D193" t="s">
        <v>2</v>
      </c>
      <c r="E193">
        <v>1881.2</v>
      </c>
      <c r="F193">
        <v>56436</v>
      </c>
    </row>
    <row r="194" spans="1:6" x14ac:dyDescent="0.35">
      <c r="A194" t="s">
        <v>369</v>
      </c>
      <c r="B194" t="s">
        <v>370</v>
      </c>
      <c r="C194">
        <v>2</v>
      </c>
      <c r="D194" t="s">
        <v>2</v>
      </c>
      <c r="E194">
        <v>28017.5</v>
      </c>
      <c r="F194">
        <v>56035</v>
      </c>
    </row>
    <row r="195" spans="1:6" x14ac:dyDescent="0.35">
      <c r="A195" t="s">
        <v>371</v>
      </c>
      <c r="B195" t="s">
        <v>372</v>
      </c>
      <c r="C195">
        <v>13</v>
      </c>
      <c r="D195" t="s">
        <v>2</v>
      </c>
      <c r="E195">
        <v>4261.1111111111113</v>
      </c>
      <c r="F195">
        <v>55394.444444444453</v>
      </c>
    </row>
    <row r="196" spans="1:6" x14ac:dyDescent="0.35">
      <c r="A196" t="s">
        <v>373</v>
      </c>
      <c r="B196" t="s">
        <v>374</v>
      </c>
      <c r="C196">
        <v>3</v>
      </c>
      <c r="D196" t="s">
        <v>2</v>
      </c>
      <c r="E196">
        <v>18324.333333333328</v>
      </c>
      <c r="F196">
        <v>54973</v>
      </c>
    </row>
    <row r="197" spans="1:6" x14ac:dyDescent="0.35">
      <c r="A197" t="s">
        <v>375</v>
      </c>
      <c r="B197" t="s">
        <v>376</v>
      </c>
      <c r="C197">
        <v>20</v>
      </c>
      <c r="D197" t="s">
        <v>5</v>
      </c>
      <c r="E197">
        <v>2725.35</v>
      </c>
      <c r="F197">
        <v>54507</v>
      </c>
    </row>
    <row r="198" spans="1:6" x14ac:dyDescent="0.35">
      <c r="A198" t="s">
        <v>377</v>
      </c>
      <c r="B198" t="s">
        <v>378</v>
      </c>
      <c r="C198">
        <v>41</v>
      </c>
      <c r="D198" t="s">
        <v>2</v>
      </c>
      <c r="E198">
        <v>1301.1707317073169</v>
      </c>
      <c r="F198">
        <v>53348</v>
      </c>
    </row>
    <row r="199" spans="1:6" x14ac:dyDescent="0.35">
      <c r="A199" t="s">
        <v>379</v>
      </c>
      <c r="B199" t="s">
        <v>380</v>
      </c>
      <c r="C199">
        <v>7</v>
      </c>
      <c r="D199" t="s">
        <v>2</v>
      </c>
      <c r="E199">
        <v>7584.8571428571431</v>
      </c>
      <c r="F199">
        <v>53094</v>
      </c>
    </row>
    <row r="200" spans="1:6" x14ac:dyDescent="0.35">
      <c r="A200" t="s">
        <v>381</v>
      </c>
      <c r="B200" t="s">
        <v>322</v>
      </c>
      <c r="C200">
        <v>17</v>
      </c>
      <c r="D200" t="s">
        <v>2</v>
      </c>
      <c r="E200">
        <v>3106.1904761904761</v>
      </c>
      <c r="F200">
        <v>52805.238095238092</v>
      </c>
    </row>
    <row r="201" spans="1:6" x14ac:dyDescent="0.35">
      <c r="A201" t="s">
        <v>382</v>
      </c>
      <c r="B201" t="s">
        <v>383</v>
      </c>
      <c r="C201">
        <v>1</v>
      </c>
      <c r="D201" t="s">
        <v>2</v>
      </c>
      <c r="E201">
        <v>52501</v>
      </c>
      <c r="F201">
        <v>52501</v>
      </c>
    </row>
    <row r="202" spans="1:6" x14ac:dyDescent="0.35">
      <c r="A202" t="s">
        <v>384</v>
      </c>
      <c r="B202" t="s">
        <v>385</v>
      </c>
      <c r="C202">
        <v>7</v>
      </c>
      <c r="D202" t="s">
        <v>2</v>
      </c>
      <c r="E202">
        <v>7490.545454545455</v>
      </c>
      <c r="F202">
        <v>52433.818181818177</v>
      </c>
    </row>
    <row r="203" spans="1:6" x14ac:dyDescent="0.35">
      <c r="A203" t="s">
        <v>386</v>
      </c>
      <c r="B203" t="s">
        <v>387</v>
      </c>
      <c r="C203">
        <v>5</v>
      </c>
      <c r="D203" t="s">
        <v>2</v>
      </c>
      <c r="E203">
        <v>10445.597402597399</v>
      </c>
      <c r="F203">
        <v>52227.987012987011</v>
      </c>
    </row>
    <row r="204" spans="1:6" x14ac:dyDescent="0.35">
      <c r="A204" t="s">
        <v>388</v>
      </c>
      <c r="B204" t="s">
        <v>389</v>
      </c>
      <c r="C204">
        <v>10</v>
      </c>
      <c r="D204" t="s">
        <v>2</v>
      </c>
      <c r="E204">
        <v>5150.7</v>
      </c>
      <c r="F204">
        <v>51507</v>
      </c>
    </row>
    <row r="205" spans="1:6" x14ac:dyDescent="0.35">
      <c r="A205" t="s">
        <v>390</v>
      </c>
      <c r="B205" t="s">
        <v>391</v>
      </c>
      <c r="C205">
        <v>4</v>
      </c>
      <c r="D205" t="s">
        <v>5</v>
      </c>
      <c r="E205">
        <v>12745.041304347829</v>
      </c>
      <c r="F205">
        <v>50980.165217391303</v>
      </c>
    </row>
    <row r="206" spans="1:6" x14ac:dyDescent="0.35">
      <c r="A206" t="s">
        <v>392</v>
      </c>
      <c r="B206" t="s">
        <v>238</v>
      </c>
      <c r="C206">
        <v>6</v>
      </c>
      <c r="D206" t="s">
        <v>5</v>
      </c>
      <c r="E206">
        <v>8455.5909090909099</v>
      </c>
      <c r="F206">
        <v>50733.545454545463</v>
      </c>
    </row>
    <row r="207" spans="1:6" x14ac:dyDescent="0.35">
      <c r="A207" t="s">
        <v>393</v>
      </c>
      <c r="B207" t="s">
        <v>394</v>
      </c>
      <c r="C207">
        <v>48</v>
      </c>
      <c r="D207" t="s">
        <v>2</v>
      </c>
      <c r="E207">
        <v>1053.714285714286</v>
      </c>
      <c r="F207">
        <v>50578.285714285717</v>
      </c>
    </row>
    <row r="208" spans="1:6" x14ac:dyDescent="0.35">
      <c r="A208" t="s">
        <v>395</v>
      </c>
      <c r="B208" t="s">
        <v>396</v>
      </c>
      <c r="C208">
        <v>3</v>
      </c>
      <c r="D208" t="s">
        <v>2</v>
      </c>
      <c r="E208">
        <v>16856</v>
      </c>
      <c r="F208">
        <v>50568</v>
      </c>
    </row>
    <row r="209" spans="1:6" x14ac:dyDescent="0.35">
      <c r="A209" t="s">
        <v>397</v>
      </c>
      <c r="B209" t="s">
        <v>398</v>
      </c>
      <c r="C209">
        <v>8</v>
      </c>
      <c r="D209" t="s">
        <v>5</v>
      </c>
      <c r="E209">
        <v>6314</v>
      </c>
      <c r="F209">
        <v>50512</v>
      </c>
    </row>
    <row r="210" spans="1:6" x14ac:dyDescent="0.35">
      <c r="A210" t="s">
        <v>399</v>
      </c>
      <c r="B210" t="s">
        <v>112</v>
      </c>
      <c r="C210">
        <v>4</v>
      </c>
      <c r="D210" t="s">
        <v>2</v>
      </c>
      <c r="E210">
        <v>12605.11955241461</v>
      </c>
      <c r="F210">
        <v>50420.478209658417</v>
      </c>
    </row>
    <row r="211" spans="1:6" x14ac:dyDescent="0.35">
      <c r="A211" t="s">
        <v>400</v>
      </c>
      <c r="B211" t="s">
        <v>401</v>
      </c>
      <c r="C211">
        <v>10</v>
      </c>
      <c r="D211" t="s">
        <v>2</v>
      </c>
      <c r="E211">
        <v>5034.3999999999996</v>
      </c>
      <c r="F211">
        <v>50344</v>
      </c>
    </row>
    <row r="212" spans="1:6" x14ac:dyDescent="0.35">
      <c r="A212" t="s">
        <v>402</v>
      </c>
      <c r="B212" t="s">
        <v>403</v>
      </c>
      <c r="C212">
        <v>7</v>
      </c>
      <c r="D212" t="s">
        <v>2</v>
      </c>
      <c r="E212">
        <v>7172.2857142857147</v>
      </c>
      <c r="F212">
        <v>50206</v>
      </c>
    </row>
    <row r="213" spans="1:6" x14ac:dyDescent="0.35">
      <c r="A213" t="s">
        <v>404</v>
      </c>
      <c r="B213" t="s">
        <v>405</v>
      </c>
      <c r="C213">
        <v>24</v>
      </c>
      <c r="D213" t="s">
        <v>2</v>
      </c>
      <c r="E213">
        <v>2024.5</v>
      </c>
      <c r="F213">
        <v>48588</v>
      </c>
    </row>
    <row r="214" spans="1:6" x14ac:dyDescent="0.35">
      <c r="A214" t="s">
        <v>406</v>
      </c>
      <c r="B214" t="s">
        <v>407</v>
      </c>
      <c r="C214">
        <v>6</v>
      </c>
      <c r="D214" t="s">
        <v>5</v>
      </c>
      <c r="E214">
        <v>7957.833333333333</v>
      </c>
      <c r="F214">
        <v>47747</v>
      </c>
    </row>
    <row r="215" spans="1:6" x14ac:dyDescent="0.35">
      <c r="A215" t="s">
        <v>408</v>
      </c>
      <c r="B215" t="s">
        <v>409</v>
      </c>
      <c r="C215">
        <v>2</v>
      </c>
      <c r="D215" t="s">
        <v>2</v>
      </c>
      <c r="E215">
        <v>23840</v>
      </c>
      <c r="F215">
        <v>47680</v>
      </c>
    </row>
    <row r="216" spans="1:6" x14ac:dyDescent="0.35">
      <c r="A216" t="s">
        <v>410</v>
      </c>
      <c r="B216" t="s">
        <v>411</v>
      </c>
      <c r="C216">
        <v>1</v>
      </c>
      <c r="D216" t="s">
        <v>5</v>
      </c>
      <c r="E216">
        <v>47623</v>
      </c>
      <c r="F216">
        <v>47623</v>
      </c>
    </row>
    <row r="217" spans="1:6" x14ac:dyDescent="0.35">
      <c r="A217" t="s">
        <v>412</v>
      </c>
      <c r="B217" t="s">
        <v>413</v>
      </c>
      <c r="C217">
        <v>3</v>
      </c>
      <c r="D217" t="s">
        <v>5</v>
      </c>
      <c r="E217">
        <v>15592.75</v>
      </c>
      <c r="F217">
        <v>46778.25</v>
      </c>
    </row>
    <row r="218" spans="1:6" x14ac:dyDescent="0.35">
      <c r="A218" t="s">
        <v>414</v>
      </c>
      <c r="B218" t="s">
        <v>415</v>
      </c>
      <c r="C218">
        <v>1</v>
      </c>
      <c r="D218" t="s">
        <v>5</v>
      </c>
      <c r="E218">
        <v>46288.364705882363</v>
      </c>
      <c r="F218">
        <v>46288.364705882363</v>
      </c>
    </row>
    <row r="219" spans="1:6" x14ac:dyDescent="0.35">
      <c r="A219" t="s">
        <v>416</v>
      </c>
      <c r="B219" t="s">
        <v>417</v>
      </c>
      <c r="C219">
        <v>24</v>
      </c>
      <c r="D219" t="s">
        <v>2</v>
      </c>
      <c r="E219">
        <v>1926.7307692307691</v>
      </c>
      <c r="F219">
        <v>46241.538461538461</v>
      </c>
    </row>
    <row r="220" spans="1:6" x14ac:dyDescent="0.35">
      <c r="A220" t="s">
        <v>418</v>
      </c>
      <c r="B220" t="s">
        <v>139</v>
      </c>
      <c r="C220">
        <v>6</v>
      </c>
      <c r="D220" t="s">
        <v>5</v>
      </c>
      <c r="E220">
        <v>7401.9777777777781</v>
      </c>
      <c r="F220">
        <v>44411.866666666669</v>
      </c>
    </row>
    <row r="221" spans="1:6" x14ac:dyDescent="0.35">
      <c r="A221" t="s">
        <v>419</v>
      </c>
      <c r="B221" t="s">
        <v>420</v>
      </c>
      <c r="C221">
        <v>5</v>
      </c>
      <c r="D221" t="s">
        <v>5</v>
      </c>
      <c r="E221">
        <v>8874.7999999999993</v>
      </c>
      <c r="F221">
        <v>44374</v>
      </c>
    </row>
    <row r="222" spans="1:6" x14ac:dyDescent="0.35">
      <c r="A222" t="s">
        <v>421</v>
      </c>
      <c r="B222" t="s">
        <v>422</v>
      </c>
      <c r="C222">
        <v>5</v>
      </c>
      <c r="D222" t="s">
        <v>2</v>
      </c>
      <c r="E222">
        <v>8805</v>
      </c>
      <c r="F222">
        <v>44025</v>
      </c>
    </row>
    <row r="223" spans="1:6" x14ac:dyDescent="0.35">
      <c r="A223" t="s">
        <v>423</v>
      </c>
      <c r="B223" t="s">
        <v>424</v>
      </c>
      <c r="C223">
        <v>4</v>
      </c>
      <c r="D223" t="s">
        <v>5</v>
      </c>
      <c r="E223">
        <v>10646.2</v>
      </c>
      <c r="F223">
        <v>42584.800000000003</v>
      </c>
    </row>
    <row r="224" spans="1:6" x14ac:dyDescent="0.35">
      <c r="A224" t="s">
        <v>425</v>
      </c>
      <c r="B224" t="s">
        <v>238</v>
      </c>
      <c r="C224">
        <v>5</v>
      </c>
      <c r="D224" t="s">
        <v>5</v>
      </c>
      <c r="E224">
        <v>8455.5909090909099</v>
      </c>
      <c r="F224">
        <v>42277.954545454551</v>
      </c>
    </row>
    <row r="225" spans="1:6" x14ac:dyDescent="0.35">
      <c r="A225" t="s">
        <v>426</v>
      </c>
      <c r="B225" t="s">
        <v>427</v>
      </c>
      <c r="C225">
        <v>2</v>
      </c>
      <c r="D225" t="s">
        <v>5</v>
      </c>
      <c r="E225">
        <v>20908.8125</v>
      </c>
      <c r="F225">
        <v>41817.625</v>
      </c>
    </row>
    <row r="226" spans="1:6" x14ac:dyDescent="0.35">
      <c r="A226" t="s">
        <v>428</v>
      </c>
      <c r="B226" t="s">
        <v>429</v>
      </c>
      <c r="C226">
        <v>1</v>
      </c>
      <c r="D226" t="s">
        <v>2</v>
      </c>
      <c r="E226">
        <v>41529</v>
      </c>
      <c r="F226">
        <v>41529</v>
      </c>
    </row>
    <row r="227" spans="1:6" x14ac:dyDescent="0.35">
      <c r="A227" t="s">
        <v>430</v>
      </c>
      <c r="B227" t="s">
        <v>431</v>
      </c>
      <c r="C227">
        <v>9</v>
      </c>
      <c r="D227" t="s">
        <v>2</v>
      </c>
      <c r="E227">
        <v>4604.2222222222226</v>
      </c>
      <c r="F227">
        <v>41438</v>
      </c>
    </row>
    <row r="228" spans="1:6" x14ac:dyDescent="0.35">
      <c r="A228" t="s">
        <v>432</v>
      </c>
      <c r="B228" t="s">
        <v>433</v>
      </c>
      <c r="C228">
        <v>6</v>
      </c>
      <c r="D228" t="s">
        <v>5</v>
      </c>
      <c r="E228">
        <v>6871</v>
      </c>
      <c r="F228">
        <v>41226</v>
      </c>
    </row>
    <row r="229" spans="1:6" x14ac:dyDescent="0.35">
      <c r="A229" t="s">
        <v>434</v>
      </c>
      <c r="B229" t="s">
        <v>435</v>
      </c>
      <c r="C229">
        <v>6</v>
      </c>
      <c r="D229" t="s">
        <v>2</v>
      </c>
      <c r="E229">
        <v>6848.333333333333</v>
      </c>
      <c r="F229">
        <v>41090</v>
      </c>
    </row>
    <row r="230" spans="1:6" x14ac:dyDescent="0.35">
      <c r="A230" t="s">
        <v>436</v>
      </c>
      <c r="B230" t="s">
        <v>437</v>
      </c>
      <c r="C230">
        <v>5</v>
      </c>
      <c r="D230" t="s">
        <v>2</v>
      </c>
      <c r="E230">
        <v>8176</v>
      </c>
      <c r="F230">
        <v>40880</v>
      </c>
    </row>
    <row r="231" spans="1:6" x14ac:dyDescent="0.35">
      <c r="A231" t="s">
        <v>438</v>
      </c>
      <c r="B231" t="s">
        <v>439</v>
      </c>
      <c r="C231">
        <v>60</v>
      </c>
      <c r="D231" t="s">
        <v>2</v>
      </c>
      <c r="E231">
        <v>670.03201970443354</v>
      </c>
      <c r="F231">
        <v>40201.921182266007</v>
      </c>
    </row>
    <row r="232" spans="1:6" x14ac:dyDescent="0.35">
      <c r="A232" t="s">
        <v>440</v>
      </c>
      <c r="B232" t="s">
        <v>441</v>
      </c>
      <c r="C232">
        <v>24</v>
      </c>
      <c r="D232" t="s">
        <v>2</v>
      </c>
      <c r="E232">
        <v>1661.083333333333</v>
      </c>
      <c r="F232">
        <v>39866</v>
      </c>
    </row>
    <row r="233" spans="1:6" x14ac:dyDescent="0.35">
      <c r="A233" t="s">
        <v>442</v>
      </c>
      <c r="B233" t="s">
        <v>443</v>
      </c>
      <c r="C233">
        <v>3</v>
      </c>
      <c r="D233" t="s">
        <v>5</v>
      </c>
      <c r="E233">
        <v>13236.9649122807</v>
      </c>
      <c r="F233">
        <v>39710.894736842107</v>
      </c>
    </row>
    <row r="234" spans="1:6" x14ac:dyDescent="0.35">
      <c r="A234" t="s">
        <v>444</v>
      </c>
      <c r="B234" t="s">
        <v>445</v>
      </c>
      <c r="C234">
        <v>1</v>
      </c>
      <c r="D234" t="s">
        <v>5</v>
      </c>
      <c r="E234">
        <v>39600</v>
      </c>
      <c r="F234">
        <v>39600</v>
      </c>
    </row>
    <row r="235" spans="1:6" x14ac:dyDescent="0.35">
      <c r="A235" t="s">
        <v>446</v>
      </c>
      <c r="B235" t="s">
        <v>288</v>
      </c>
      <c r="C235">
        <v>4</v>
      </c>
      <c r="D235" t="s">
        <v>5</v>
      </c>
      <c r="E235">
        <v>9881.136363636364</v>
      </c>
      <c r="F235">
        <v>39524.545454545463</v>
      </c>
    </row>
    <row r="236" spans="1:6" x14ac:dyDescent="0.35">
      <c r="A236" t="s">
        <v>447</v>
      </c>
      <c r="B236" t="s">
        <v>448</v>
      </c>
      <c r="C236">
        <v>99</v>
      </c>
      <c r="D236" t="s">
        <v>2</v>
      </c>
      <c r="E236">
        <v>398.95959595959602</v>
      </c>
      <c r="F236">
        <v>39497</v>
      </c>
    </row>
    <row r="237" spans="1:6" x14ac:dyDescent="0.35">
      <c r="A237" t="s">
        <v>449</v>
      </c>
      <c r="B237" t="s">
        <v>450</v>
      </c>
      <c r="C237">
        <v>10</v>
      </c>
      <c r="D237" t="s">
        <v>2</v>
      </c>
      <c r="E237">
        <v>3919.6</v>
      </c>
      <c r="F237">
        <v>39196</v>
      </c>
    </row>
    <row r="238" spans="1:6" x14ac:dyDescent="0.35">
      <c r="A238" t="s">
        <v>451</v>
      </c>
      <c r="B238" t="s">
        <v>452</v>
      </c>
      <c r="C238">
        <v>87</v>
      </c>
      <c r="D238" t="s">
        <v>5</v>
      </c>
      <c r="E238">
        <v>446.98425196850388</v>
      </c>
      <c r="F238">
        <v>38887.629921259853</v>
      </c>
    </row>
    <row r="239" spans="1:6" x14ac:dyDescent="0.35">
      <c r="A239" t="s">
        <v>453</v>
      </c>
      <c r="B239" t="s">
        <v>454</v>
      </c>
      <c r="C239">
        <v>6</v>
      </c>
      <c r="D239" t="s">
        <v>5</v>
      </c>
      <c r="E239">
        <v>6320.7014925373132</v>
      </c>
      <c r="F239">
        <v>37924.208955223883</v>
      </c>
    </row>
    <row r="240" spans="1:6" x14ac:dyDescent="0.35">
      <c r="A240" t="s">
        <v>455</v>
      </c>
      <c r="B240" t="s">
        <v>456</v>
      </c>
      <c r="C240">
        <v>12</v>
      </c>
      <c r="D240" t="s">
        <v>5</v>
      </c>
      <c r="E240">
        <v>3152.916666666667</v>
      </c>
      <c r="F240">
        <v>37835</v>
      </c>
    </row>
    <row r="241" spans="1:6" x14ac:dyDescent="0.35">
      <c r="A241" t="s">
        <v>457</v>
      </c>
      <c r="B241" t="s">
        <v>112</v>
      </c>
      <c r="C241">
        <v>3</v>
      </c>
      <c r="D241" t="s">
        <v>2</v>
      </c>
      <c r="E241">
        <v>12605.11955241461</v>
      </c>
      <c r="F241">
        <v>37815.358657243822</v>
      </c>
    </row>
    <row r="242" spans="1:6" x14ac:dyDescent="0.35">
      <c r="A242" t="s">
        <v>458</v>
      </c>
      <c r="B242" t="s">
        <v>459</v>
      </c>
      <c r="C242">
        <v>46</v>
      </c>
      <c r="D242" t="s">
        <v>2</v>
      </c>
      <c r="E242">
        <v>779.59013944223102</v>
      </c>
      <c r="F242">
        <v>35861.146414342627</v>
      </c>
    </row>
    <row r="243" spans="1:6" x14ac:dyDescent="0.35">
      <c r="A243" t="s">
        <v>460</v>
      </c>
      <c r="B243" t="s">
        <v>461</v>
      </c>
      <c r="C243">
        <v>1</v>
      </c>
      <c r="D243" t="s">
        <v>5</v>
      </c>
      <c r="E243">
        <v>35425</v>
      </c>
      <c r="F243">
        <v>35425</v>
      </c>
    </row>
    <row r="244" spans="1:6" x14ac:dyDescent="0.35">
      <c r="A244" t="s">
        <v>462</v>
      </c>
      <c r="B244" t="s">
        <v>13</v>
      </c>
      <c r="C244">
        <v>20</v>
      </c>
      <c r="D244" t="s">
        <v>5</v>
      </c>
      <c r="E244">
        <v>1757.349056603774</v>
      </c>
      <c r="F244">
        <v>35146.981132075467</v>
      </c>
    </row>
    <row r="245" spans="1:6" x14ac:dyDescent="0.35">
      <c r="A245" t="s">
        <v>463</v>
      </c>
      <c r="B245" t="s">
        <v>464</v>
      </c>
      <c r="C245">
        <v>6</v>
      </c>
      <c r="D245" t="s">
        <v>5</v>
      </c>
      <c r="E245">
        <v>5720.875</v>
      </c>
      <c r="F245">
        <v>34325.25</v>
      </c>
    </row>
    <row r="246" spans="1:6" x14ac:dyDescent="0.35">
      <c r="A246" t="s">
        <v>465</v>
      </c>
      <c r="B246" t="s">
        <v>466</v>
      </c>
      <c r="C246">
        <v>2</v>
      </c>
      <c r="D246" t="s">
        <v>2</v>
      </c>
      <c r="E246">
        <v>17134</v>
      </c>
      <c r="F246">
        <v>34268</v>
      </c>
    </row>
    <row r="247" spans="1:6" x14ac:dyDescent="0.35">
      <c r="A247" t="s">
        <v>467</v>
      </c>
      <c r="B247" t="s">
        <v>238</v>
      </c>
      <c r="C247">
        <v>4</v>
      </c>
      <c r="D247" t="s">
        <v>5</v>
      </c>
      <c r="E247">
        <v>8455.5909090909099</v>
      </c>
      <c r="F247">
        <v>33822.36363636364</v>
      </c>
    </row>
    <row r="248" spans="1:6" x14ac:dyDescent="0.35">
      <c r="A248" t="s">
        <v>468</v>
      </c>
      <c r="B248" t="s">
        <v>469</v>
      </c>
      <c r="C248">
        <v>3</v>
      </c>
      <c r="D248" t="s">
        <v>2</v>
      </c>
      <c r="E248">
        <v>11195.33333333333</v>
      </c>
      <c r="F248">
        <v>33586</v>
      </c>
    </row>
    <row r="249" spans="1:6" x14ac:dyDescent="0.35">
      <c r="A249" t="s">
        <v>470</v>
      </c>
      <c r="B249" t="s">
        <v>161</v>
      </c>
      <c r="C249">
        <v>1</v>
      </c>
      <c r="D249" t="s">
        <v>5</v>
      </c>
      <c r="E249">
        <v>33409.701570680627</v>
      </c>
      <c r="F249">
        <v>33409.701570680627</v>
      </c>
    </row>
    <row r="250" spans="1:6" x14ac:dyDescent="0.35">
      <c r="A250" t="s">
        <v>471</v>
      </c>
      <c r="B250" t="s">
        <v>472</v>
      </c>
      <c r="C250">
        <v>57</v>
      </c>
      <c r="D250" t="s">
        <v>5</v>
      </c>
      <c r="E250">
        <v>575.82758620689651</v>
      </c>
      <c r="F250">
        <v>32822.172413793101</v>
      </c>
    </row>
    <row r="251" spans="1:6" x14ac:dyDescent="0.35">
      <c r="A251" t="s">
        <v>473</v>
      </c>
      <c r="B251" t="s">
        <v>474</v>
      </c>
      <c r="C251">
        <v>3</v>
      </c>
      <c r="D251" t="s">
        <v>2</v>
      </c>
      <c r="E251">
        <v>10636.75</v>
      </c>
      <c r="F251">
        <v>31910.25</v>
      </c>
    </row>
    <row r="252" spans="1:6" x14ac:dyDescent="0.35">
      <c r="A252" t="s">
        <v>475</v>
      </c>
      <c r="B252" t="s">
        <v>476</v>
      </c>
      <c r="C252">
        <v>4</v>
      </c>
      <c r="D252" t="s">
        <v>5</v>
      </c>
      <c r="E252">
        <v>7971.9444444444443</v>
      </c>
      <c r="F252">
        <v>31887.777777777781</v>
      </c>
    </row>
    <row r="253" spans="1:6" x14ac:dyDescent="0.35">
      <c r="A253" t="s">
        <v>477</v>
      </c>
      <c r="B253" t="s">
        <v>478</v>
      </c>
      <c r="C253">
        <v>1</v>
      </c>
      <c r="D253" t="s">
        <v>2</v>
      </c>
      <c r="E253">
        <v>31249</v>
      </c>
      <c r="F253">
        <v>31249</v>
      </c>
    </row>
    <row r="254" spans="1:6" x14ac:dyDescent="0.35">
      <c r="A254" t="s">
        <v>479</v>
      </c>
      <c r="B254" t="s">
        <v>480</v>
      </c>
      <c r="C254">
        <v>16</v>
      </c>
      <c r="D254" t="s">
        <v>2</v>
      </c>
      <c r="E254">
        <v>1940.625</v>
      </c>
      <c r="F254">
        <v>31050</v>
      </c>
    </row>
    <row r="255" spans="1:6" x14ac:dyDescent="0.35">
      <c r="A255" t="s">
        <v>481</v>
      </c>
      <c r="B255" t="s">
        <v>482</v>
      </c>
      <c r="C255">
        <v>4</v>
      </c>
      <c r="D255" t="s">
        <v>5</v>
      </c>
      <c r="E255">
        <v>7668.75</v>
      </c>
      <c r="F255">
        <v>30675</v>
      </c>
    </row>
    <row r="256" spans="1:6" x14ac:dyDescent="0.35">
      <c r="A256" t="s">
        <v>483</v>
      </c>
      <c r="B256" t="s">
        <v>484</v>
      </c>
      <c r="C256">
        <v>2</v>
      </c>
      <c r="D256" t="s">
        <v>2</v>
      </c>
      <c r="E256">
        <v>15277.5</v>
      </c>
      <c r="F256">
        <v>30555</v>
      </c>
    </row>
    <row r="257" spans="1:6" x14ac:dyDescent="0.35">
      <c r="A257" t="s">
        <v>485</v>
      </c>
      <c r="B257" t="s">
        <v>486</v>
      </c>
      <c r="C257">
        <v>6</v>
      </c>
      <c r="D257" t="s">
        <v>2</v>
      </c>
      <c r="E257">
        <v>5071.7794117647063</v>
      </c>
      <c r="F257">
        <v>30430.676470588242</v>
      </c>
    </row>
    <row r="258" spans="1:6" x14ac:dyDescent="0.35">
      <c r="A258" t="s">
        <v>487</v>
      </c>
      <c r="B258" t="s">
        <v>167</v>
      </c>
      <c r="C258">
        <v>8</v>
      </c>
      <c r="D258" t="s">
        <v>5</v>
      </c>
      <c r="E258">
        <v>3757.6081081081079</v>
      </c>
      <c r="F258">
        <v>30060.86486486486</v>
      </c>
    </row>
    <row r="259" spans="1:6" x14ac:dyDescent="0.35">
      <c r="A259" t="s">
        <v>488</v>
      </c>
      <c r="B259" t="s">
        <v>489</v>
      </c>
      <c r="C259">
        <v>32</v>
      </c>
      <c r="D259" t="s">
        <v>5</v>
      </c>
      <c r="E259">
        <v>935.43902439024396</v>
      </c>
      <c r="F259">
        <v>29934.04878048781</v>
      </c>
    </row>
    <row r="260" spans="1:6" x14ac:dyDescent="0.35">
      <c r="A260" t="s">
        <v>490</v>
      </c>
      <c r="B260" t="s">
        <v>153</v>
      </c>
      <c r="C260">
        <v>2</v>
      </c>
      <c r="D260" t="s">
        <v>2</v>
      </c>
      <c r="E260">
        <v>14960</v>
      </c>
      <c r="F260">
        <v>29920</v>
      </c>
    </row>
    <row r="261" spans="1:6" x14ac:dyDescent="0.35">
      <c r="A261" t="s">
        <v>491</v>
      </c>
      <c r="B261" t="s">
        <v>492</v>
      </c>
      <c r="C261">
        <v>16</v>
      </c>
      <c r="D261" t="s">
        <v>2</v>
      </c>
      <c r="E261">
        <v>1813.25</v>
      </c>
      <c r="F261">
        <v>29012</v>
      </c>
    </row>
    <row r="262" spans="1:6" x14ac:dyDescent="0.35">
      <c r="A262" t="s">
        <v>493</v>
      </c>
      <c r="B262" t="s">
        <v>494</v>
      </c>
      <c r="C262">
        <v>3</v>
      </c>
      <c r="D262" t="s">
        <v>2</v>
      </c>
      <c r="E262">
        <v>9617.6666666666661</v>
      </c>
      <c r="F262">
        <v>28853</v>
      </c>
    </row>
    <row r="263" spans="1:6" x14ac:dyDescent="0.35">
      <c r="A263" t="s">
        <v>495</v>
      </c>
      <c r="B263" t="s">
        <v>496</v>
      </c>
      <c r="C263">
        <v>14</v>
      </c>
      <c r="D263" t="s">
        <v>2</v>
      </c>
      <c r="E263">
        <v>2038.4285714285711</v>
      </c>
      <c r="F263">
        <v>28538</v>
      </c>
    </row>
    <row r="264" spans="1:6" x14ac:dyDescent="0.35">
      <c r="A264" t="s">
        <v>497</v>
      </c>
      <c r="B264" t="s">
        <v>498</v>
      </c>
      <c r="C264">
        <v>5</v>
      </c>
      <c r="D264" t="s">
        <v>2</v>
      </c>
      <c r="E264">
        <v>5648.6</v>
      </c>
      <c r="F264">
        <v>28243</v>
      </c>
    </row>
    <row r="265" spans="1:6" x14ac:dyDescent="0.35">
      <c r="A265" t="s">
        <v>499</v>
      </c>
      <c r="B265" t="s">
        <v>500</v>
      </c>
      <c r="C265">
        <v>2</v>
      </c>
      <c r="D265" t="s">
        <v>2</v>
      </c>
      <c r="E265">
        <v>14088.5</v>
      </c>
      <c r="F265">
        <v>28177</v>
      </c>
    </row>
    <row r="266" spans="1:6" x14ac:dyDescent="0.35">
      <c r="A266" t="s">
        <v>501</v>
      </c>
      <c r="B266" t="s">
        <v>312</v>
      </c>
      <c r="C266">
        <v>1</v>
      </c>
      <c r="D266" t="s">
        <v>5</v>
      </c>
      <c r="E266">
        <v>28135.75</v>
      </c>
      <c r="F266">
        <v>28135.75</v>
      </c>
    </row>
    <row r="267" spans="1:6" x14ac:dyDescent="0.35">
      <c r="A267" t="s">
        <v>502</v>
      </c>
      <c r="B267" t="s">
        <v>269</v>
      </c>
      <c r="C267">
        <v>7</v>
      </c>
      <c r="D267" t="s">
        <v>5</v>
      </c>
      <c r="E267">
        <v>3960</v>
      </c>
      <c r="F267">
        <v>27720</v>
      </c>
    </row>
    <row r="268" spans="1:6" x14ac:dyDescent="0.35">
      <c r="A268" t="s">
        <v>503</v>
      </c>
      <c r="B268" t="s">
        <v>504</v>
      </c>
      <c r="C268">
        <v>20</v>
      </c>
      <c r="D268" t="s">
        <v>2</v>
      </c>
      <c r="E268">
        <v>1341.8</v>
      </c>
      <c r="F268">
        <v>26836</v>
      </c>
    </row>
    <row r="269" spans="1:6" x14ac:dyDescent="0.35">
      <c r="A269" t="s">
        <v>505</v>
      </c>
      <c r="B269" t="s">
        <v>506</v>
      </c>
      <c r="C269">
        <v>20</v>
      </c>
      <c r="D269" t="s">
        <v>5</v>
      </c>
      <c r="E269">
        <v>1298.7</v>
      </c>
      <c r="F269">
        <v>25974</v>
      </c>
    </row>
    <row r="270" spans="1:6" x14ac:dyDescent="0.35">
      <c r="A270" t="s">
        <v>507</v>
      </c>
      <c r="B270" t="s">
        <v>508</v>
      </c>
      <c r="C270">
        <v>5</v>
      </c>
      <c r="D270" t="s">
        <v>2</v>
      </c>
      <c r="E270">
        <v>5101.3999999999996</v>
      </c>
      <c r="F270">
        <v>25507</v>
      </c>
    </row>
    <row r="271" spans="1:6" x14ac:dyDescent="0.35">
      <c r="A271" t="s">
        <v>509</v>
      </c>
      <c r="B271" t="s">
        <v>238</v>
      </c>
      <c r="C271">
        <v>3</v>
      </c>
      <c r="D271" t="s">
        <v>5</v>
      </c>
      <c r="E271">
        <v>8455.5909090909099</v>
      </c>
      <c r="F271">
        <v>25366.772727272732</v>
      </c>
    </row>
    <row r="272" spans="1:6" x14ac:dyDescent="0.35">
      <c r="A272" t="s">
        <v>510</v>
      </c>
      <c r="B272" t="s">
        <v>511</v>
      </c>
      <c r="C272">
        <v>22</v>
      </c>
      <c r="D272" t="s">
        <v>2</v>
      </c>
      <c r="E272">
        <v>1129.409090909091</v>
      </c>
      <c r="F272">
        <v>24847</v>
      </c>
    </row>
    <row r="273" spans="1:6" x14ac:dyDescent="0.35">
      <c r="A273" t="s">
        <v>512</v>
      </c>
      <c r="B273" t="s">
        <v>513</v>
      </c>
      <c r="C273">
        <v>5</v>
      </c>
      <c r="D273" t="s">
        <v>2</v>
      </c>
      <c r="E273">
        <v>4791</v>
      </c>
      <c r="F273">
        <v>23955</v>
      </c>
    </row>
    <row r="274" spans="1:6" x14ac:dyDescent="0.35">
      <c r="A274" t="s">
        <v>514</v>
      </c>
      <c r="B274" t="s">
        <v>515</v>
      </c>
      <c r="C274">
        <v>1</v>
      </c>
      <c r="D274" t="s">
        <v>2</v>
      </c>
      <c r="E274">
        <v>23585</v>
      </c>
      <c r="F274">
        <v>23585</v>
      </c>
    </row>
    <row r="275" spans="1:6" x14ac:dyDescent="0.35">
      <c r="A275" t="s">
        <v>516</v>
      </c>
      <c r="B275" t="s">
        <v>517</v>
      </c>
      <c r="C275">
        <v>6</v>
      </c>
      <c r="D275" t="s">
        <v>5</v>
      </c>
      <c r="E275">
        <v>3922.333333333333</v>
      </c>
      <c r="F275">
        <v>23534</v>
      </c>
    </row>
    <row r="276" spans="1:6" x14ac:dyDescent="0.35">
      <c r="A276" t="s">
        <v>518</v>
      </c>
      <c r="B276" t="s">
        <v>519</v>
      </c>
      <c r="C276">
        <v>6</v>
      </c>
      <c r="D276" t="s">
        <v>5</v>
      </c>
      <c r="E276">
        <v>3881.333333333333</v>
      </c>
      <c r="F276">
        <v>23288</v>
      </c>
    </row>
    <row r="277" spans="1:6" x14ac:dyDescent="0.35">
      <c r="A277" t="s">
        <v>520</v>
      </c>
      <c r="B277" t="s">
        <v>521</v>
      </c>
      <c r="C277">
        <v>1</v>
      </c>
      <c r="D277" t="s">
        <v>5</v>
      </c>
      <c r="E277">
        <v>23220</v>
      </c>
      <c r="F277">
        <v>23220</v>
      </c>
    </row>
    <row r="278" spans="1:6" x14ac:dyDescent="0.35">
      <c r="A278" t="s">
        <v>522</v>
      </c>
      <c r="B278" t="s">
        <v>394</v>
      </c>
      <c r="C278">
        <v>22</v>
      </c>
      <c r="D278" t="s">
        <v>2</v>
      </c>
      <c r="E278">
        <v>1053.714285714286</v>
      </c>
      <c r="F278">
        <v>23181.71428571429</v>
      </c>
    </row>
    <row r="279" spans="1:6" x14ac:dyDescent="0.35">
      <c r="A279" t="s">
        <v>523</v>
      </c>
      <c r="B279" t="s">
        <v>354</v>
      </c>
      <c r="C279">
        <v>9</v>
      </c>
      <c r="D279" t="s">
        <v>2</v>
      </c>
      <c r="E279">
        <v>2550.6531061022538</v>
      </c>
      <c r="F279">
        <v>22955.877954920281</v>
      </c>
    </row>
    <row r="280" spans="1:6" x14ac:dyDescent="0.35">
      <c r="A280" t="s">
        <v>524</v>
      </c>
      <c r="B280" t="s">
        <v>525</v>
      </c>
      <c r="C280">
        <v>7</v>
      </c>
      <c r="D280" t="s">
        <v>2</v>
      </c>
      <c r="E280">
        <v>3197.9162234042551</v>
      </c>
      <c r="F280">
        <v>22385.413563829781</v>
      </c>
    </row>
    <row r="281" spans="1:6" x14ac:dyDescent="0.35">
      <c r="A281" t="s">
        <v>526</v>
      </c>
      <c r="B281" t="s">
        <v>527</v>
      </c>
      <c r="C281">
        <v>20</v>
      </c>
      <c r="D281" t="s">
        <v>2</v>
      </c>
      <c r="E281">
        <v>1097.347826086957</v>
      </c>
      <c r="F281">
        <v>21946.956521739128</v>
      </c>
    </row>
    <row r="282" spans="1:6" x14ac:dyDescent="0.35">
      <c r="A282" t="s">
        <v>528</v>
      </c>
      <c r="B282" t="s">
        <v>529</v>
      </c>
      <c r="C282">
        <v>3</v>
      </c>
      <c r="D282" t="s">
        <v>2</v>
      </c>
      <c r="E282">
        <v>7303.666666666667</v>
      </c>
      <c r="F282">
        <v>21911</v>
      </c>
    </row>
    <row r="283" spans="1:6" x14ac:dyDescent="0.35">
      <c r="A283" t="s">
        <v>530</v>
      </c>
      <c r="B283" t="s">
        <v>531</v>
      </c>
      <c r="C283">
        <v>9</v>
      </c>
      <c r="D283" t="s">
        <v>2</v>
      </c>
      <c r="E283">
        <v>2367.1764705882351</v>
      </c>
      <c r="F283">
        <v>21304.588235294119</v>
      </c>
    </row>
    <row r="284" spans="1:6" x14ac:dyDescent="0.35">
      <c r="A284" t="s">
        <v>532</v>
      </c>
      <c r="B284" t="s">
        <v>533</v>
      </c>
      <c r="C284">
        <v>2</v>
      </c>
      <c r="D284" t="s">
        <v>2</v>
      </c>
      <c r="E284">
        <v>10636.5</v>
      </c>
      <c r="F284">
        <v>21273</v>
      </c>
    </row>
    <row r="285" spans="1:6" x14ac:dyDescent="0.35">
      <c r="A285" t="s">
        <v>534</v>
      </c>
      <c r="B285" t="s">
        <v>535</v>
      </c>
      <c r="C285">
        <v>7</v>
      </c>
      <c r="D285" t="s">
        <v>2</v>
      </c>
      <c r="E285">
        <v>3016.2857142857142</v>
      </c>
      <c r="F285">
        <v>21114</v>
      </c>
    </row>
    <row r="286" spans="1:6" x14ac:dyDescent="0.35">
      <c r="A286" t="s">
        <v>536</v>
      </c>
      <c r="B286" t="s">
        <v>537</v>
      </c>
      <c r="C286">
        <v>1</v>
      </c>
      <c r="D286" t="s">
        <v>2</v>
      </c>
      <c r="E286">
        <v>20020</v>
      </c>
      <c r="F286">
        <v>20020</v>
      </c>
    </row>
    <row r="287" spans="1:6" x14ac:dyDescent="0.35">
      <c r="A287" t="s">
        <v>538</v>
      </c>
      <c r="B287" t="s">
        <v>539</v>
      </c>
      <c r="C287">
        <v>2</v>
      </c>
      <c r="D287" t="s">
        <v>2</v>
      </c>
      <c r="E287">
        <v>9737</v>
      </c>
      <c r="F287">
        <v>19474</v>
      </c>
    </row>
    <row r="288" spans="1:6" x14ac:dyDescent="0.35">
      <c r="A288" t="s">
        <v>540</v>
      </c>
      <c r="B288" t="s">
        <v>541</v>
      </c>
      <c r="C288">
        <v>2</v>
      </c>
      <c r="D288" t="s">
        <v>2</v>
      </c>
      <c r="E288">
        <v>9672.9604278074858</v>
      </c>
      <c r="F288">
        <v>19345.920855614972</v>
      </c>
    </row>
    <row r="289" spans="1:6" x14ac:dyDescent="0.35">
      <c r="A289" t="s">
        <v>542</v>
      </c>
      <c r="B289" t="s">
        <v>255</v>
      </c>
      <c r="C289">
        <v>3</v>
      </c>
      <c r="D289" t="s">
        <v>5</v>
      </c>
      <c r="E289">
        <v>6335.0952380952394</v>
      </c>
      <c r="F289">
        <v>19005.285714285721</v>
      </c>
    </row>
    <row r="290" spans="1:6" x14ac:dyDescent="0.35">
      <c r="A290" t="s">
        <v>543</v>
      </c>
      <c r="B290" t="s">
        <v>544</v>
      </c>
      <c r="C290">
        <v>3</v>
      </c>
      <c r="D290" t="s">
        <v>2</v>
      </c>
      <c r="E290">
        <v>6283.333333333333</v>
      </c>
      <c r="F290">
        <v>18850</v>
      </c>
    </row>
    <row r="291" spans="1:6" x14ac:dyDescent="0.35">
      <c r="A291" t="s">
        <v>545</v>
      </c>
      <c r="B291" t="s">
        <v>546</v>
      </c>
      <c r="C291">
        <v>2</v>
      </c>
      <c r="D291" t="s">
        <v>2</v>
      </c>
      <c r="E291">
        <v>9341</v>
      </c>
      <c r="F291">
        <v>18682</v>
      </c>
    </row>
    <row r="292" spans="1:6" x14ac:dyDescent="0.35">
      <c r="A292" t="s">
        <v>547</v>
      </c>
      <c r="B292" t="s">
        <v>548</v>
      </c>
      <c r="C292">
        <v>4</v>
      </c>
      <c r="D292" t="s">
        <v>2</v>
      </c>
      <c r="E292">
        <v>4627.75</v>
      </c>
      <c r="F292">
        <v>18511</v>
      </c>
    </row>
    <row r="293" spans="1:6" x14ac:dyDescent="0.35">
      <c r="A293" t="s">
        <v>549</v>
      </c>
      <c r="B293" t="s">
        <v>550</v>
      </c>
      <c r="C293">
        <v>5</v>
      </c>
      <c r="D293" t="s">
        <v>2</v>
      </c>
      <c r="E293">
        <v>3696</v>
      </c>
      <c r="F293">
        <v>18480</v>
      </c>
    </row>
    <row r="294" spans="1:6" x14ac:dyDescent="0.35">
      <c r="A294" t="s">
        <v>551</v>
      </c>
      <c r="B294" t="s">
        <v>552</v>
      </c>
      <c r="C294">
        <v>5</v>
      </c>
      <c r="D294" t="s">
        <v>2</v>
      </c>
      <c r="E294">
        <v>3649.8</v>
      </c>
      <c r="F294">
        <v>18249</v>
      </c>
    </row>
    <row r="295" spans="1:6" x14ac:dyDescent="0.35">
      <c r="A295" t="s">
        <v>553</v>
      </c>
      <c r="B295" t="s">
        <v>422</v>
      </c>
      <c r="C295">
        <v>2</v>
      </c>
      <c r="D295" t="s">
        <v>2</v>
      </c>
      <c r="E295">
        <v>8805</v>
      </c>
      <c r="F295">
        <v>17610</v>
      </c>
    </row>
    <row r="296" spans="1:6" x14ac:dyDescent="0.35">
      <c r="A296" t="s">
        <v>554</v>
      </c>
      <c r="B296" t="s">
        <v>555</v>
      </c>
      <c r="C296">
        <v>1</v>
      </c>
      <c r="D296" t="s">
        <v>2</v>
      </c>
      <c r="E296">
        <v>17600</v>
      </c>
      <c r="F296">
        <v>17600</v>
      </c>
    </row>
    <row r="297" spans="1:6" x14ac:dyDescent="0.35">
      <c r="A297" t="s">
        <v>556</v>
      </c>
      <c r="B297" t="s">
        <v>557</v>
      </c>
      <c r="C297">
        <v>1</v>
      </c>
      <c r="D297" t="s">
        <v>2</v>
      </c>
      <c r="E297">
        <v>17552</v>
      </c>
      <c r="F297">
        <v>17552</v>
      </c>
    </row>
    <row r="298" spans="1:6" x14ac:dyDescent="0.35">
      <c r="A298" t="s">
        <v>558</v>
      </c>
      <c r="B298" t="s">
        <v>559</v>
      </c>
      <c r="C298">
        <v>11</v>
      </c>
      <c r="D298" t="s">
        <v>2</v>
      </c>
      <c r="E298">
        <v>1595.363636363636</v>
      </c>
      <c r="F298">
        <v>17549</v>
      </c>
    </row>
    <row r="299" spans="1:6" x14ac:dyDescent="0.35">
      <c r="A299" t="s">
        <v>560</v>
      </c>
      <c r="B299" t="s">
        <v>238</v>
      </c>
      <c r="C299">
        <v>2</v>
      </c>
      <c r="D299" t="s">
        <v>5</v>
      </c>
      <c r="E299">
        <v>8455.5909090909099</v>
      </c>
      <c r="F299">
        <v>16911.18181818182</v>
      </c>
    </row>
    <row r="300" spans="1:6" x14ac:dyDescent="0.35">
      <c r="A300" t="s">
        <v>561</v>
      </c>
      <c r="B300" t="s">
        <v>562</v>
      </c>
      <c r="C300">
        <v>1</v>
      </c>
      <c r="D300" t="s">
        <v>2</v>
      </c>
      <c r="E300">
        <v>16483</v>
      </c>
      <c r="F300">
        <v>16483</v>
      </c>
    </row>
    <row r="301" spans="1:6" x14ac:dyDescent="0.35">
      <c r="A301" t="s">
        <v>563</v>
      </c>
      <c r="B301" t="s">
        <v>564</v>
      </c>
      <c r="C301">
        <v>5</v>
      </c>
      <c r="D301" t="s">
        <v>5</v>
      </c>
      <c r="E301">
        <v>3269.7857142857142</v>
      </c>
      <c r="F301">
        <v>16348.928571428571</v>
      </c>
    </row>
    <row r="302" spans="1:6" x14ac:dyDescent="0.35">
      <c r="A302" t="s">
        <v>565</v>
      </c>
      <c r="B302" t="s">
        <v>566</v>
      </c>
      <c r="C302">
        <v>4</v>
      </c>
      <c r="D302" t="s">
        <v>2</v>
      </c>
      <c r="E302">
        <v>3886.5</v>
      </c>
      <c r="F302">
        <v>15546</v>
      </c>
    </row>
    <row r="303" spans="1:6" x14ac:dyDescent="0.35">
      <c r="A303" t="s">
        <v>567</v>
      </c>
      <c r="B303" t="s">
        <v>568</v>
      </c>
      <c r="C303">
        <v>1</v>
      </c>
      <c r="D303" t="s">
        <v>5</v>
      </c>
      <c r="E303">
        <v>15439</v>
      </c>
      <c r="F303">
        <v>15439</v>
      </c>
    </row>
    <row r="304" spans="1:6" x14ac:dyDescent="0.35">
      <c r="A304" t="s">
        <v>569</v>
      </c>
      <c r="B304" t="s">
        <v>570</v>
      </c>
      <c r="C304">
        <v>1</v>
      </c>
      <c r="D304" t="s">
        <v>2</v>
      </c>
      <c r="E304">
        <v>15171</v>
      </c>
      <c r="F304">
        <v>15171</v>
      </c>
    </row>
    <row r="305" spans="1:6" x14ac:dyDescent="0.35">
      <c r="A305" t="s">
        <v>571</v>
      </c>
      <c r="B305" t="s">
        <v>385</v>
      </c>
      <c r="C305">
        <v>2</v>
      </c>
      <c r="D305" t="s">
        <v>2</v>
      </c>
      <c r="E305">
        <v>7490.545454545455</v>
      </c>
      <c r="F305">
        <v>14981.09090909091</v>
      </c>
    </row>
    <row r="306" spans="1:6" x14ac:dyDescent="0.35">
      <c r="A306" t="s">
        <v>572</v>
      </c>
      <c r="B306" t="s">
        <v>573</v>
      </c>
      <c r="C306">
        <v>2</v>
      </c>
      <c r="D306" t="s">
        <v>2</v>
      </c>
      <c r="E306">
        <v>7156.1653696498051</v>
      </c>
      <c r="F306">
        <v>14312.33073929961</v>
      </c>
    </row>
    <row r="307" spans="1:6" x14ac:dyDescent="0.35">
      <c r="A307" t="s">
        <v>574</v>
      </c>
      <c r="B307" t="s">
        <v>575</v>
      </c>
      <c r="C307">
        <v>8</v>
      </c>
      <c r="D307" t="s">
        <v>2</v>
      </c>
      <c r="E307">
        <v>1789</v>
      </c>
      <c r="F307">
        <v>14312</v>
      </c>
    </row>
    <row r="308" spans="1:6" x14ac:dyDescent="0.35">
      <c r="A308" t="s">
        <v>576</v>
      </c>
      <c r="B308" t="s">
        <v>577</v>
      </c>
      <c r="C308">
        <v>2</v>
      </c>
      <c r="D308" t="s">
        <v>2</v>
      </c>
      <c r="E308">
        <v>7089</v>
      </c>
      <c r="F308">
        <v>14178</v>
      </c>
    </row>
    <row r="309" spans="1:6" x14ac:dyDescent="0.35">
      <c r="A309" t="s">
        <v>578</v>
      </c>
      <c r="B309" t="s">
        <v>579</v>
      </c>
      <c r="C309">
        <v>1</v>
      </c>
      <c r="D309" t="s">
        <v>5</v>
      </c>
      <c r="E309">
        <v>14138</v>
      </c>
      <c r="F309">
        <v>14138</v>
      </c>
    </row>
    <row r="310" spans="1:6" x14ac:dyDescent="0.35">
      <c r="A310" t="s">
        <v>580</v>
      </c>
      <c r="B310" t="s">
        <v>358</v>
      </c>
      <c r="C310">
        <v>4</v>
      </c>
      <c r="D310" t="s">
        <v>5</v>
      </c>
      <c r="E310">
        <v>3513.8301886792451</v>
      </c>
      <c r="F310">
        <v>14055.32075471698</v>
      </c>
    </row>
    <row r="311" spans="1:6" x14ac:dyDescent="0.35">
      <c r="A311" t="s">
        <v>581</v>
      </c>
      <c r="B311" t="s">
        <v>582</v>
      </c>
      <c r="C311">
        <v>1</v>
      </c>
      <c r="D311" t="s">
        <v>2</v>
      </c>
      <c r="E311">
        <v>13340</v>
      </c>
      <c r="F311">
        <v>13340</v>
      </c>
    </row>
    <row r="312" spans="1:6" x14ac:dyDescent="0.35">
      <c r="A312" t="s">
        <v>583</v>
      </c>
      <c r="B312" t="s">
        <v>584</v>
      </c>
      <c r="C312">
        <v>6</v>
      </c>
      <c r="D312" t="s">
        <v>5</v>
      </c>
      <c r="E312">
        <v>2202.5</v>
      </c>
      <c r="F312">
        <v>13215</v>
      </c>
    </row>
    <row r="313" spans="1:6" x14ac:dyDescent="0.35">
      <c r="A313" t="s">
        <v>585</v>
      </c>
      <c r="B313" t="s">
        <v>586</v>
      </c>
      <c r="C313">
        <v>2</v>
      </c>
      <c r="D313" t="s">
        <v>2</v>
      </c>
      <c r="E313">
        <v>6596.4803493449781</v>
      </c>
      <c r="F313">
        <v>13192.96069868996</v>
      </c>
    </row>
    <row r="314" spans="1:6" x14ac:dyDescent="0.35">
      <c r="A314" t="s">
        <v>587</v>
      </c>
      <c r="B314" t="s">
        <v>588</v>
      </c>
      <c r="C314">
        <v>17</v>
      </c>
      <c r="D314" t="s">
        <v>5</v>
      </c>
      <c r="E314">
        <v>763.88888888888891</v>
      </c>
      <c r="F314">
        <v>12986.111111111109</v>
      </c>
    </row>
    <row r="315" spans="1:6" x14ac:dyDescent="0.35">
      <c r="A315" t="s">
        <v>589</v>
      </c>
      <c r="B315" t="s">
        <v>590</v>
      </c>
      <c r="C315">
        <v>2</v>
      </c>
      <c r="D315" t="s">
        <v>5</v>
      </c>
      <c r="E315">
        <v>6424.166666666667</v>
      </c>
      <c r="F315">
        <v>12848.33333333333</v>
      </c>
    </row>
    <row r="316" spans="1:6" x14ac:dyDescent="0.35">
      <c r="A316" t="s">
        <v>591</v>
      </c>
      <c r="B316" t="s">
        <v>592</v>
      </c>
      <c r="C316">
        <v>1</v>
      </c>
      <c r="D316" t="s">
        <v>2</v>
      </c>
      <c r="E316">
        <v>12699</v>
      </c>
      <c r="F316">
        <v>12699</v>
      </c>
    </row>
    <row r="317" spans="1:6" x14ac:dyDescent="0.35">
      <c r="A317" t="s">
        <v>593</v>
      </c>
      <c r="B317" t="s">
        <v>594</v>
      </c>
      <c r="C317">
        <v>19</v>
      </c>
      <c r="D317" t="s">
        <v>2</v>
      </c>
      <c r="E317">
        <v>666.9655172413793</v>
      </c>
      <c r="F317">
        <v>12672.34482758621</v>
      </c>
    </row>
    <row r="318" spans="1:6" x14ac:dyDescent="0.35">
      <c r="A318" t="s">
        <v>595</v>
      </c>
      <c r="B318" t="s">
        <v>596</v>
      </c>
      <c r="C318">
        <v>1</v>
      </c>
      <c r="D318" t="s">
        <v>2</v>
      </c>
      <c r="E318">
        <v>12461.16666666667</v>
      </c>
      <c r="F318">
        <v>12461.16666666667</v>
      </c>
    </row>
    <row r="319" spans="1:6" x14ac:dyDescent="0.35">
      <c r="A319" t="s">
        <v>597</v>
      </c>
      <c r="B319" t="s">
        <v>598</v>
      </c>
      <c r="C319">
        <v>12</v>
      </c>
      <c r="D319" t="s">
        <v>2</v>
      </c>
      <c r="E319">
        <v>1032.75</v>
      </c>
      <c r="F319">
        <v>12393</v>
      </c>
    </row>
    <row r="320" spans="1:6" x14ac:dyDescent="0.35">
      <c r="A320" t="s">
        <v>599</v>
      </c>
      <c r="B320" t="s">
        <v>600</v>
      </c>
      <c r="C320">
        <v>5</v>
      </c>
      <c r="D320" t="s">
        <v>2</v>
      </c>
      <c r="E320">
        <v>2467.0357142857142</v>
      </c>
      <c r="F320">
        <v>12335.178571428571</v>
      </c>
    </row>
    <row r="321" spans="1:6" x14ac:dyDescent="0.35">
      <c r="A321" t="s">
        <v>601</v>
      </c>
      <c r="B321" t="s">
        <v>602</v>
      </c>
      <c r="C321">
        <v>7</v>
      </c>
      <c r="D321" t="s">
        <v>2</v>
      </c>
      <c r="E321">
        <v>1743.388059701492</v>
      </c>
      <c r="F321">
        <v>12203.716417910449</v>
      </c>
    </row>
    <row r="322" spans="1:6" x14ac:dyDescent="0.35">
      <c r="A322" t="s">
        <v>603</v>
      </c>
      <c r="B322" t="s">
        <v>604</v>
      </c>
      <c r="C322">
        <v>10</v>
      </c>
      <c r="D322" t="s">
        <v>2</v>
      </c>
      <c r="E322">
        <v>1181</v>
      </c>
      <c r="F322">
        <v>11810</v>
      </c>
    </row>
    <row r="323" spans="1:6" x14ac:dyDescent="0.35">
      <c r="A323" t="s">
        <v>605</v>
      </c>
      <c r="B323" t="s">
        <v>606</v>
      </c>
      <c r="C323">
        <v>6</v>
      </c>
      <c r="D323" t="s">
        <v>2</v>
      </c>
      <c r="E323">
        <v>1958.166666666667</v>
      </c>
      <c r="F323">
        <v>11749</v>
      </c>
    </row>
    <row r="324" spans="1:6" x14ac:dyDescent="0.35">
      <c r="A324" t="s">
        <v>607</v>
      </c>
      <c r="B324" t="s">
        <v>608</v>
      </c>
      <c r="C324">
        <v>1</v>
      </c>
      <c r="D324" t="s">
        <v>5</v>
      </c>
      <c r="E324">
        <v>11234</v>
      </c>
      <c r="F324">
        <v>11234</v>
      </c>
    </row>
    <row r="325" spans="1:6" x14ac:dyDescent="0.35">
      <c r="A325" t="s">
        <v>609</v>
      </c>
      <c r="B325" t="s">
        <v>263</v>
      </c>
      <c r="C325">
        <v>5</v>
      </c>
      <c r="D325" t="s">
        <v>2</v>
      </c>
      <c r="E325">
        <v>2188.6181818181822</v>
      </c>
      <c r="F325">
        <v>10943.09090909091</v>
      </c>
    </row>
    <row r="326" spans="1:6" x14ac:dyDescent="0.35">
      <c r="A326" t="s">
        <v>610</v>
      </c>
      <c r="B326" t="s">
        <v>611</v>
      </c>
      <c r="C326">
        <v>3</v>
      </c>
      <c r="D326" t="s">
        <v>2</v>
      </c>
      <c r="E326">
        <v>3603.666666666667</v>
      </c>
      <c r="F326">
        <v>10811</v>
      </c>
    </row>
    <row r="327" spans="1:6" x14ac:dyDescent="0.35">
      <c r="A327" t="s">
        <v>612</v>
      </c>
      <c r="B327" t="s">
        <v>613</v>
      </c>
      <c r="C327">
        <v>1</v>
      </c>
      <c r="D327" t="s">
        <v>2</v>
      </c>
      <c r="E327">
        <v>10560</v>
      </c>
      <c r="F327">
        <v>10560</v>
      </c>
    </row>
    <row r="328" spans="1:6" x14ac:dyDescent="0.35">
      <c r="A328" t="s">
        <v>614</v>
      </c>
      <c r="B328" t="s">
        <v>615</v>
      </c>
      <c r="C328">
        <v>2</v>
      </c>
      <c r="D328" t="s">
        <v>2</v>
      </c>
      <c r="E328">
        <v>5197.0277777777774</v>
      </c>
      <c r="F328">
        <v>10394.055555555549</v>
      </c>
    </row>
    <row r="329" spans="1:6" x14ac:dyDescent="0.35">
      <c r="A329" t="s">
        <v>616</v>
      </c>
      <c r="B329" t="s">
        <v>617</v>
      </c>
      <c r="C329">
        <v>1</v>
      </c>
      <c r="D329" t="s">
        <v>2</v>
      </c>
      <c r="E329">
        <v>10176.66666666667</v>
      </c>
      <c r="F329">
        <v>10176.66666666667</v>
      </c>
    </row>
    <row r="330" spans="1:6" x14ac:dyDescent="0.35">
      <c r="A330" t="s">
        <v>618</v>
      </c>
      <c r="B330" t="s">
        <v>619</v>
      </c>
      <c r="C330">
        <v>4</v>
      </c>
      <c r="D330" t="s">
        <v>2</v>
      </c>
      <c r="E330">
        <v>2473.25</v>
      </c>
      <c r="F330">
        <v>9893</v>
      </c>
    </row>
    <row r="331" spans="1:6" x14ac:dyDescent="0.35">
      <c r="A331" t="s">
        <v>620</v>
      </c>
      <c r="B331" t="s">
        <v>621</v>
      </c>
      <c r="C331">
        <v>7</v>
      </c>
      <c r="D331" t="s">
        <v>2</v>
      </c>
      <c r="E331">
        <v>1385.714285714286</v>
      </c>
      <c r="F331">
        <v>9700</v>
      </c>
    </row>
    <row r="332" spans="1:6" x14ac:dyDescent="0.35">
      <c r="A332" t="s">
        <v>622</v>
      </c>
      <c r="B332" t="s">
        <v>623</v>
      </c>
      <c r="C332">
        <v>9</v>
      </c>
      <c r="D332" t="s">
        <v>2</v>
      </c>
      <c r="E332">
        <v>1066.588235294118</v>
      </c>
      <c r="F332">
        <v>9599.2941176470576</v>
      </c>
    </row>
    <row r="333" spans="1:6" x14ac:dyDescent="0.35">
      <c r="A333" t="s">
        <v>624</v>
      </c>
      <c r="B333" t="s">
        <v>625</v>
      </c>
      <c r="C333">
        <v>1</v>
      </c>
      <c r="D333" t="s">
        <v>2</v>
      </c>
      <c r="E333">
        <v>9477</v>
      </c>
      <c r="F333">
        <v>9477</v>
      </c>
    </row>
    <row r="334" spans="1:6" x14ac:dyDescent="0.35">
      <c r="A334" t="s">
        <v>626</v>
      </c>
      <c r="B334" t="s">
        <v>627</v>
      </c>
      <c r="C334">
        <v>5</v>
      </c>
      <c r="D334" t="s">
        <v>2</v>
      </c>
      <c r="E334">
        <v>1808.8</v>
      </c>
      <c r="F334">
        <v>9044</v>
      </c>
    </row>
    <row r="335" spans="1:6" x14ac:dyDescent="0.35">
      <c r="A335" t="s">
        <v>628</v>
      </c>
      <c r="B335" t="s">
        <v>629</v>
      </c>
      <c r="C335">
        <v>5</v>
      </c>
      <c r="D335" t="s">
        <v>2</v>
      </c>
      <c r="E335">
        <v>1808.8</v>
      </c>
      <c r="F335">
        <v>9044</v>
      </c>
    </row>
    <row r="336" spans="1:6" x14ac:dyDescent="0.35">
      <c r="A336" t="s">
        <v>630</v>
      </c>
      <c r="B336" t="s">
        <v>452</v>
      </c>
      <c r="C336">
        <v>20</v>
      </c>
      <c r="D336" t="s">
        <v>5</v>
      </c>
      <c r="E336">
        <v>446.98425196850388</v>
      </c>
      <c r="F336">
        <v>8939.6850393700788</v>
      </c>
    </row>
    <row r="337" spans="1:6" x14ac:dyDescent="0.35">
      <c r="A337" t="s">
        <v>631</v>
      </c>
      <c r="B337" t="s">
        <v>452</v>
      </c>
      <c r="C337">
        <v>20</v>
      </c>
      <c r="D337" t="s">
        <v>5</v>
      </c>
      <c r="E337">
        <v>446.98425196850388</v>
      </c>
      <c r="F337">
        <v>8939.6850393700788</v>
      </c>
    </row>
    <row r="338" spans="1:6" x14ac:dyDescent="0.35">
      <c r="A338" t="s">
        <v>632</v>
      </c>
      <c r="B338" t="s">
        <v>633</v>
      </c>
      <c r="C338">
        <v>6</v>
      </c>
      <c r="D338" t="s">
        <v>5</v>
      </c>
      <c r="E338">
        <v>1474.5</v>
      </c>
      <c r="F338">
        <v>8847</v>
      </c>
    </row>
    <row r="339" spans="1:6" x14ac:dyDescent="0.35">
      <c r="A339" t="s">
        <v>634</v>
      </c>
      <c r="B339" t="s">
        <v>584</v>
      </c>
      <c r="C339">
        <v>4</v>
      </c>
      <c r="D339" t="s">
        <v>5</v>
      </c>
      <c r="E339">
        <v>2202.5</v>
      </c>
      <c r="F339">
        <v>8810</v>
      </c>
    </row>
    <row r="340" spans="1:6" x14ac:dyDescent="0.35">
      <c r="A340" t="s">
        <v>635</v>
      </c>
      <c r="B340" t="s">
        <v>636</v>
      </c>
      <c r="C340">
        <v>2</v>
      </c>
      <c r="D340" t="s">
        <v>2</v>
      </c>
      <c r="E340">
        <v>4367.5</v>
      </c>
      <c r="F340">
        <v>8735</v>
      </c>
    </row>
    <row r="341" spans="1:6" x14ac:dyDescent="0.35">
      <c r="A341" t="s">
        <v>637</v>
      </c>
      <c r="B341" t="s">
        <v>638</v>
      </c>
      <c r="C341">
        <v>10</v>
      </c>
      <c r="D341" t="s">
        <v>2</v>
      </c>
      <c r="E341">
        <v>867.92499999999995</v>
      </c>
      <c r="F341">
        <v>8679.25</v>
      </c>
    </row>
    <row r="342" spans="1:6" x14ac:dyDescent="0.35">
      <c r="A342" t="s">
        <v>639</v>
      </c>
      <c r="B342" t="s">
        <v>640</v>
      </c>
      <c r="C342">
        <v>1</v>
      </c>
      <c r="D342" t="s">
        <v>5</v>
      </c>
      <c r="E342">
        <v>8522</v>
      </c>
      <c r="F342">
        <v>8522</v>
      </c>
    </row>
    <row r="343" spans="1:6" x14ac:dyDescent="0.35">
      <c r="A343" t="s">
        <v>641</v>
      </c>
      <c r="B343" t="s">
        <v>642</v>
      </c>
      <c r="C343">
        <v>8</v>
      </c>
      <c r="D343" t="s">
        <v>5</v>
      </c>
      <c r="E343">
        <v>994.4</v>
      </c>
      <c r="F343">
        <v>7955.2</v>
      </c>
    </row>
    <row r="344" spans="1:6" x14ac:dyDescent="0.35">
      <c r="A344" t="s">
        <v>643</v>
      </c>
      <c r="B344" t="s">
        <v>644</v>
      </c>
      <c r="C344">
        <v>5</v>
      </c>
      <c r="D344" t="s">
        <v>5</v>
      </c>
      <c r="E344">
        <v>1488.4</v>
      </c>
      <c r="F344">
        <v>7442</v>
      </c>
    </row>
    <row r="345" spans="1:6" x14ac:dyDescent="0.35">
      <c r="A345" t="s">
        <v>645</v>
      </c>
      <c r="B345" t="s">
        <v>646</v>
      </c>
      <c r="C345">
        <v>3</v>
      </c>
      <c r="D345" t="s">
        <v>5</v>
      </c>
      <c r="E345">
        <v>2397.4</v>
      </c>
      <c r="F345">
        <v>7192.2000000000007</v>
      </c>
    </row>
    <row r="346" spans="1:6" x14ac:dyDescent="0.35">
      <c r="A346" t="s">
        <v>647</v>
      </c>
      <c r="B346" t="s">
        <v>648</v>
      </c>
      <c r="C346">
        <v>8</v>
      </c>
      <c r="D346" t="s">
        <v>5</v>
      </c>
      <c r="E346">
        <v>866</v>
      </c>
      <c r="F346">
        <v>6928</v>
      </c>
    </row>
    <row r="347" spans="1:6" x14ac:dyDescent="0.35">
      <c r="A347" t="s">
        <v>649</v>
      </c>
      <c r="B347" t="s">
        <v>650</v>
      </c>
      <c r="C347">
        <v>1</v>
      </c>
      <c r="D347" t="s">
        <v>2</v>
      </c>
      <c r="E347">
        <v>6848.333333333333</v>
      </c>
      <c r="F347">
        <v>6848.333333333333</v>
      </c>
    </row>
    <row r="348" spans="1:6" x14ac:dyDescent="0.35">
      <c r="A348" t="s">
        <v>651</v>
      </c>
      <c r="B348" t="s">
        <v>652</v>
      </c>
      <c r="C348">
        <v>1</v>
      </c>
      <c r="D348" t="s">
        <v>2</v>
      </c>
      <c r="E348">
        <v>6773</v>
      </c>
      <c r="F348">
        <v>6773</v>
      </c>
    </row>
    <row r="349" spans="1:6" x14ac:dyDescent="0.35">
      <c r="A349" t="s">
        <v>653</v>
      </c>
      <c r="B349" t="s">
        <v>654</v>
      </c>
      <c r="C349">
        <v>4</v>
      </c>
      <c r="D349" t="s">
        <v>2</v>
      </c>
      <c r="E349">
        <v>1657.75</v>
      </c>
      <c r="F349">
        <v>6631</v>
      </c>
    </row>
    <row r="350" spans="1:6" x14ac:dyDescent="0.35">
      <c r="A350" t="s">
        <v>655</v>
      </c>
      <c r="B350" t="s">
        <v>656</v>
      </c>
      <c r="C350">
        <v>1</v>
      </c>
      <c r="D350" t="s">
        <v>2</v>
      </c>
      <c r="E350">
        <v>6457</v>
      </c>
      <c r="F350">
        <v>6457</v>
      </c>
    </row>
    <row r="351" spans="1:6" x14ac:dyDescent="0.35">
      <c r="A351" t="s">
        <v>657</v>
      </c>
      <c r="B351" t="s">
        <v>658</v>
      </c>
      <c r="C351">
        <v>1</v>
      </c>
      <c r="D351" t="s">
        <v>5</v>
      </c>
      <c r="E351">
        <v>6285</v>
      </c>
      <c r="F351">
        <v>6285</v>
      </c>
    </row>
    <row r="352" spans="1:6" x14ac:dyDescent="0.35">
      <c r="A352" t="s">
        <v>659</v>
      </c>
      <c r="B352" t="s">
        <v>660</v>
      </c>
      <c r="C352">
        <v>1</v>
      </c>
      <c r="D352" t="s">
        <v>2</v>
      </c>
      <c r="E352">
        <v>6022</v>
      </c>
      <c r="F352">
        <v>6022</v>
      </c>
    </row>
    <row r="353" spans="1:6" x14ac:dyDescent="0.35">
      <c r="A353" t="s">
        <v>661</v>
      </c>
      <c r="B353" t="s">
        <v>662</v>
      </c>
      <c r="C353">
        <v>6</v>
      </c>
      <c r="D353" t="s">
        <v>5</v>
      </c>
      <c r="E353">
        <v>986.42857142857144</v>
      </c>
      <c r="F353">
        <v>5918.5714285714284</v>
      </c>
    </row>
    <row r="354" spans="1:6" x14ac:dyDescent="0.35">
      <c r="A354" t="s">
        <v>663</v>
      </c>
      <c r="B354" t="s">
        <v>664</v>
      </c>
      <c r="C354">
        <v>2</v>
      </c>
      <c r="D354" t="s">
        <v>2</v>
      </c>
      <c r="E354">
        <v>2876</v>
      </c>
      <c r="F354">
        <v>5752</v>
      </c>
    </row>
    <row r="355" spans="1:6" x14ac:dyDescent="0.35">
      <c r="A355" t="s">
        <v>665</v>
      </c>
      <c r="B355" t="s">
        <v>666</v>
      </c>
      <c r="C355">
        <v>7</v>
      </c>
      <c r="D355" t="s">
        <v>5</v>
      </c>
      <c r="E355">
        <v>792.71428571428567</v>
      </c>
      <c r="F355">
        <v>5549</v>
      </c>
    </row>
    <row r="356" spans="1:6" x14ac:dyDescent="0.35">
      <c r="A356" t="s">
        <v>667</v>
      </c>
      <c r="B356" t="s">
        <v>668</v>
      </c>
      <c r="C356">
        <v>1</v>
      </c>
      <c r="D356" t="s">
        <v>2</v>
      </c>
      <c r="E356">
        <v>5534</v>
      </c>
      <c r="F356">
        <v>5534</v>
      </c>
    </row>
    <row r="357" spans="1:6" x14ac:dyDescent="0.35">
      <c r="A357" t="s">
        <v>667</v>
      </c>
      <c r="B357" t="s">
        <v>668</v>
      </c>
      <c r="C357">
        <v>1</v>
      </c>
      <c r="D357" t="s">
        <v>2</v>
      </c>
      <c r="E357">
        <v>5534</v>
      </c>
      <c r="F357">
        <v>5534</v>
      </c>
    </row>
    <row r="358" spans="1:6" x14ac:dyDescent="0.35">
      <c r="A358" t="s">
        <v>669</v>
      </c>
      <c r="B358" t="s">
        <v>670</v>
      </c>
      <c r="C358">
        <v>10</v>
      </c>
      <c r="D358" t="s">
        <v>2</v>
      </c>
      <c r="E358">
        <v>533.39890710382508</v>
      </c>
      <c r="F358">
        <v>5333.9890710382506</v>
      </c>
    </row>
    <row r="359" spans="1:6" x14ac:dyDescent="0.35">
      <c r="A359" t="s">
        <v>671</v>
      </c>
      <c r="B359" t="s">
        <v>181</v>
      </c>
      <c r="C359">
        <v>1</v>
      </c>
      <c r="D359" t="s">
        <v>2</v>
      </c>
      <c r="E359">
        <v>5310.9473684210516</v>
      </c>
      <c r="F359">
        <v>5310.9473684210516</v>
      </c>
    </row>
    <row r="360" spans="1:6" x14ac:dyDescent="0.35">
      <c r="A360" t="s">
        <v>672</v>
      </c>
      <c r="B360" t="s">
        <v>673</v>
      </c>
      <c r="C360">
        <v>1</v>
      </c>
      <c r="D360" t="s">
        <v>5</v>
      </c>
      <c r="E360">
        <v>5042</v>
      </c>
      <c r="F360">
        <v>5042</v>
      </c>
    </row>
    <row r="361" spans="1:6" x14ac:dyDescent="0.35">
      <c r="A361" t="s">
        <v>674</v>
      </c>
      <c r="B361" t="s">
        <v>675</v>
      </c>
      <c r="C361">
        <v>3</v>
      </c>
      <c r="D361" t="s">
        <v>2</v>
      </c>
      <c r="E361">
        <v>1637.666666666667</v>
      </c>
      <c r="F361">
        <v>4913</v>
      </c>
    </row>
    <row r="362" spans="1:6" x14ac:dyDescent="0.35">
      <c r="A362" t="s">
        <v>676</v>
      </c>
      <c r="B362" t="s">
        <v>677</v>
      </c>
      <c r="C362">
        <v>6</v>
      </c>
      <c r="D362" t="s">
        <v>5</v>
      </c>
      <c r="E362">
        <v>810.27679488642843</v>
      </c>
      <c r="F362">
        <v>4861.6607693185706</v>
      </c>
    </row>
    <row r="363" spans="1:6" x14ac:dyDescent="0.35">
      <c r="A363" t="s">
        <v>678</v>
      </c>
      <c r="B363" t="s">
        <v>646</v>
      </c>
      <c r="C363">
        <v>2</v>
      </c>
      <c r="D363" t="s">
        <v>5</v>
      </c>
      <c r="E363">
        <v>2397.4</v>
      </c>
      <c r="F363">
        <v>4794.8</v>
      </c>
    </row>
    <row r="364" spans="1:6" x14ac:dyDescent="0.35">
      <c r="A364" t="s">
        <v>679</v>
      </c>
      <c r="B364" t="s">
        <v>680</v>
      </c>
      <c r="C364">
        <v>2</v>
      </c>
      <c r="D364" t="s">
        <v>2</v>
      </c>
      <c r="E364">
        <v>2152</v>
      </c>
      <c r="F364">
        <v>4304</v>
      </c>
    </row>
    <row r="365" spans="1:6" x14ac:dyDescent="0.35">
      <c r="A365" t="s">
        <v>681</v>
      </c>
      <c r="B365" t="s">
        <v>682</v>
      </c>
      <c r="C365">
        <v>1</v>
      </c>
      <c r="D365" t="s">
        <v>2</v>
      </c>
      <c r="E365">
        <v>4053</v>
      </c>
      <c r="F365">
        <v>4053</v>
      </c>
    </row>
    <row r="366" spans="1:6" x14ac:dyDescent="0.35">
      <c r="A366" t="s">
        <v>683</v>
      </c>
      <c r="B366" t="s">
        <v>684</v>
      </c>
      <c r="C366">
        <v>4</v>
      </c>
      <c r="D366" t="s">
        <v>2</v>
      </c>
      <c r="E366">
        <v>908.5</v>
      </c>
      <c r="F366">
        <v>3634</v>
      </c>
    </row>
    <row r="367" spans="1:6" x14ac:dyDescent="0.35">
      <c r="A367" t="s">
        <v>685</v>
      </c>
      <c r="B367" t="s">
        <v>686</v>
      </c>
      <c r="C367">
        <v>2</v>
      </c>
      <c r="D367" t="s">
        <v>2</v>
      </c>
      <c r="E367">
        <v>1777.5</v>
      </c>
      <c r="F367">
        <v>3555</v>
      </c>
    </row>
    <row r="368" spans="1:6" x14ac:dyDescent="0.35">
      <c r="A368" t="s">
        <v>687</v>
      </c>
      <c r="B368" t="s">
        <v>688</v>
      </c>
      <c r="C368">
        <v>2</v>
      </c>
      <c r="D368" t="s">
        <v>5</v>
      </c>
      <c r="E368">
        <v>1571.3988439306361</v>
      </c>
      <c r="F368">
        <v>3142.7976878612722</v>
      </c>
    </row>
    <row r="369" spans="1:6" x14ac:dyDescent="0.35">
      <c r="A369" t="s">
        <v>689</v>
      </c>
      <c r="B369" t="s">
        <v>690</v>
      </c>
      <c r="C369">
        <v>1</v>
      </c>
      <c r="D369" t="s">
        <v>2</v>
      </c>
      <c r="E369">
        <v>2779</v>
      </c>
      <c r="F369">
        <v>2779</v>
      </c>
    </row>
    <row r="370" spans="1:6" x14ac:dyDescent="0.35">
      <c r="A370" t="s">
        <v>691</v>
      </c>
      <c r="B370" t="s">
        <v>692</v>
      </c>
      <c r="C370">
        <v>4</v>
      </c>
      <c r="D370" t="s">
        <v>5</v>
      </c>
      <c r="E370">
        <v>640.79999999999995</v>
      </c>
      <c r="F370">
        <v>2563.1999999999998</v>
      </c>
    </row>
    <row r="371" spans="1:6" x14ac:dyDescent="0.35">
      <c r="A371" t="s">
        <v>693</v>
      </c>
      <c r="B371" t="s">
        <v>694</v>
      </c>
      <c r="C371">
        <v>3</v>
      </c>
      <c r="D371" t="s">
        <v>2</v>
      </c>
      <c r="E371">
        <v>785.66666666666663</v>
      </c>
      <c r="F371">
        <v>2357</v>
      </c>
    </row>
    <row r="372" spans="1:6" x14ac:dyDescent="0.35">
      <c r="A372" t="s">
        <v>695</v>
      </c>
      <c r="B372" t="s">
        <v>696</v>
      </c>
      <c r="C372">
        <v>2</v>
      </c>
      <c r="D372" t="s">
        <v>5</v>
      </c>
      <c r="E372">
        <v>1151.484162895928</v>
      </c>
      <c r="F372">
        <v>2302.968325791855</v>
      </c>
    </row>
    <row r="373" spans="1:6" x14ac:dyDescent="0.35">
      <c r="A373" t="s">
        <v>697</v>
      </c>
      <c r="B373" t="s">
        <v>698</v>
      </c>
      <c r="C373">
        <v>2</v>
      </c>
      <c r="D373" t="s">
        <v>2</v>
      </c>
      <c r="E373">
        <v>1136</v>
      </c>
      <c r="F373">
        <v>2272</v>
      </c>
    </row>
    <row r="374" spans="1:6" x14ac:dyDescent="0.35">
      <c r="A374" t="s">
        <v>699</v>
      </c>
      <c r="B374" t="s">
        <v>642</v>
      </c>
      <c r="C374">
        <v>2</v>
      </c>
      <c r="D374" t="s">
        <v>5</v>
      </c>
      <c r="E374">
        <v>994.4</v>
      </c>
      <c r="F374">
        <v>1988.8</v>
      </c>
    </row>
    <row r="375" spans="1:6" x14ac:dyDescent="0.35">
      <c r="A375" t="s">
        <v>700</v>
      </c>
      <c r="B375" t="s">
        <v>701</v>
      </c>
      <c r="C375">
        <v>1</v>
      </c>
      <c r="D375" t="s">
        <v>2</v>
      </c>
      <c r="E375">
        <v>1956</v>
      </c>
      <c r="F375">
        <v>1956</v>
      </c>
    </row>
    <row r="376" spans="1:6" x14ac:dyDescent="0.35">
      <c r="A376" t="s">
        <v>702</v>
      </c>
      <c r="B376" t="s">
        <v>417</v>
      </c>
      <c r="C376">
        <v>1</v>
      </c>
      <c r="D376" t="s">
        <v>2</v>
      </c>
      <c r="E376">
        <v>1926.7307692307691</v>
      </c>
      <c r="F376">
        <v>1926.7307692307691</v>
      </c>
    </row>
    <row r="377" spans="1:6" x14ac:dyDescent="0.35">
      <c r="A377" t="s">
        <v>703</v>
      </c>
      <c r="B377" t="s">
        <v>704</v>
      </c>
      <c r="C377">
        <v>10</v>
      </c>
      <c r="D377" t="s">
        <v>5</v>
      </c>
      <c r="E377">
        <v>180.7</v>
      </c>
      <c r="F377">
        <v>1807</v>
      </c>
    </row>
    <row r="378" spans="1:6" x14ac:dyDescent="0.35">
      <c r="A378" t="s">
        <v>705</v>
      </c>
      <c r="B378" t="s">
        <v>346</v>
      </c>
      <c r="C378">
        <v>1</v>
      </c>
      <c r="D378" t="s">
        <v>5</v>
      </c>
      <c r="E378">
        <v>1685.780487804878</v>
      </c>
      <c r="F378">
        <v>1685.780487804878</v>
      </c>
    </row>
    <row r="379" spans="1:6" x14ac:dyDescent="0.35">
      <c r="A379" t="s">
        <v>706</v>
      </c>
      <c r="B379" t="s">
        <v>707</v>
      </c>
      <c r="C379">
        <v>2</v>
      </c>
      <c r="D379" t="s">
        <v>2</v>
      </c>
      <c r="E379">
        <v>806.65277777777783</v>
      </c>
      <c r="F379">
        <v>1613.3055555555561</v>
      </c>
    </row>
    <row r="380" spans="1:6" x14ac:dyDescent="0.35">
      <c r="A380" t="s">
        <v>706</v>
      </c>
      <c r="B380" t="s">
        <v>707</v>
      </c>
      <c r="C380">
        <v>2</v>
      </c>
      <c r="D380" t="s">
        <v>2</v>
      </c>
      <c r="E380">
        <v>806.65277777777783</v>
      </c>
      <c r="F380">
        <v>1613.3055555555561</v>
      </c>
    </row>
    <row r="381" spans="1:6" x14ac:dyDescent="0.35">
      <c r="A381" t="s">
        <v>708</v>
      </c>
      <c r="B381" t="s">
        <v>709</v>
      </c>
      <c r="C381">
        <v>1</v>
      </c>
      <c r="D381" t="s">
        <v>2</v>
      </c>
      <c r="E381">
        <v>1564</v>
      </c>
      <c r="F381">
        <v>1564</v>
      </c>
    </row>
    <row r="382" spans="1:6" x14ac:dyDescent="0.35">
      <c r="A382" t="s">
        <v>710</v>
      </c>
      <c r="B382" t="s">
        <v>711</v>
      </c>
      <c r="C382">
        <v>1</v>
      </c>
      <c r="D382" t="s">
        <v>2</v>
      </c>
      <c r="E382">
        <v>1409</v>
      </c>
      <c r="F382">
        <v>1409</v>
      </c>
    </row>
    <row r="383" spans="1:6" x14ac:dyDescent="0.35">
      <c r="A383" t="s">
        <v>712</v>
      </c>
      <c r="B383" t="s">
        <v>713</v>
      </c>
      <c r="C383">
        <v>1</v>
      </c>
      <c r="D383" t="s">
        <v>2</v>
      </c>
      <c r="E383">
        <v>1191</v>
      </c>
      <c r="F383">
        <v>1191</v>
      </c>
    </row>
    <row r="384" spans="1:6" x14ac:dyDescent="0.35">
      <c r="A384" t="s">
        <v>714</v>
      </c>
      <c r="B384" t="s">
        <v>662</v>
      </c>
      <c r="C384">
        <v>1</v>
      </c>
      <c r="D384" t="s">
        <v>5</v>
      </c>
      <c r="E384">
        <v>986.42857142857144</v>
      </c>
      <c r="F384">
        <v>986.42857142857144</v>
      </c>
    </row>
    <row r="385" spans="1:6" x14ac:dyDescent="0.35">
      <c r="A385" t="s">
        <v>715</v>
      </c>
      <c r="B385" t="s">
        <v>716</v>
      </c>
      <c r="C385">
        <v>1</v>
      </c>
      <c r="D385" t="s">
        <v>5</v>
      </c>
      <c r="E385">
        <v>935</v>
      </c>
      <c r="F385">
        <v>935</v>
      </c>
    </row>
    <row r="386" spans="1:6" x14ac:dyDescent="0.35">
      <c r="A386" t="s">
        <v>717</v>
      </c>
      <c r="B386" t="s">
        <v>707</v>
      </c>
      <c r="C386">
        <v>1</v>
      </c>
      <c r="D386" t="s">
        <v>2</v>
      </c>
      <c r="E386">
        <v>806.65277777777783</v>
      </c>
      <c r="F386">
        <v>806.65277777777783</v>
      </c>
    </row>
    <row r="387" spans="1:6" x14ac:dyDescent="0.35">
      <c r="A387" t="s">
        <v>718</v>
      </c>
      <c r="B387" t="s">
        <v>588</v>
      </c>
      <c r="C387">
        <v>1</v>
      </c>
      <c r="D387" t="s">
        <v>5</v>
      </c>
      <c r="E387">
        <v>763.88888888888891</v>
      </c>
      <c r="F387">
        <v>763.88888888888891</v>
      </c>
    </row>
    <row r="388" spans="1:6" x14ac:dyDescent="0.35">
      <c r="A388" t="s">
        <v>719</v>
      </c>
      <c r="B388" t="s">
        <v>720</v>
      </c>
      <c r="C388">
        <v>1</v>
      </c>
      <c r="D388" t="s">
        <v>2</v>
      </c>
      <c r="E388">
        <v>759</v>
      </c>
      <c r="F388">
        <v>759</v>
      </c>
    </row>
    <row r="389" spans="1:6" x14ac:dyDescent="0.35">
      <c r="A389" t="s">
        <v>721</v>
      </c>
      <c r="B389" t="s">
        <v>722</v>
      </c>
      <c r="C389">
        <v>1</v>
      </c>
      <c r="D389" t="s">
        <v>2</v>
      </c>
      <c r="E389">
        <v>701</v>
      </c>
      <c r="F389">
        <v>701</v>
      </c>
    </row>
    <row r="390" spans="1:6" x14ac:dyDescent="0.35">
      <c r="A390" t="s">
        <v>723</v>
      </c>
      <c r="B390" t="s">
        <v>692</v>
      </c>
      <c r="C390">
        <v>1</v>
      </c>
      <c r="D390" t="s">
        <v>5</v>
      </c>
      <c r="E390">
        <v>640.79999999999995</v>
      </c>
      <c r="F390">
        <v>640.79999999999995</v>
      </c>
    </row>
    <row r="391" spans="1:6" x14ac:dyDescent="0.35">
      <c r="A391" t="s">
        <v>724</v>
      </c>
      <c r="B391" t="s">
        <v>472</v>
      </c>
      <c r="C391">
        <v>1</v>
      </c>
      <c r="D391" t="s">
        <v>5</v>
      </c>
      <c r="E391">
        <v>575.82758620689651</v>
      </c>
      <c r="F391">
        <v>575.82758620689651</v>
      </c>
    </row>
    <row r="392" spans="1:6" x14ac:dyDescent="0.35">
      <c r="A392" t="s">
        <v>725</v>
      </c>
      <c r="B392" t="s">
        <v>726</v>
      </c>
      <c r="C392">
        <v>1</v>
      </c>
      <c r="D392" t="s">
        <v>5</v>
      </c>
      <c r="E392">
        <v>542</v>
      </c>
      <c r="F392">
        <v>542</v>
      </c>
    </row>
    <row r="393" spans="1:6" x14ac:dyDescent="0.35">
      <c r="A393" t="s">
        <v>727</v>
      </c>
      <c r="B393" t="s">
        <v>728</v>
      </c>
      <c r="C393">
        <v>3</v>
      </c>
      <c r="F393">
        <v>0</v>
      </c>
    </row>
    <row r="394" spans="1:6" x14ac:dyDescent="0.35">
      <c r="A394" t="s">
        <v>729</v>
      </c>
      <c r="B394" t="s">
        <v>730</v>
      </c>
      <c r="C394">
        <v>5</v>
      </c>
      <c r="F394">
        <v>0</v>
      </c>
    </row>
    <row r="395" spans="1:6" x14ac:dyDescent="0.35">
      <c r="A395" t="s">
        <v>731</v>
      </c>
      <c r="C395">
        <v>1</v>
      </c>
      <c r="F395">
        <v>0</v>
      </c>
    </row>
    <row r="396" spans="1:6" x14ac:dyDescent="0.35">
      <c r="A396" t="s">
        <v>732</v>
      </c>
      <c r="B396" t="s">
        <v>733</v>
      </c>
      <c r="C396">
        <v>1</v>
      </c>
      <c r="F396">
        <v>0</v>
      </c>
    </row>
    <row r="397" spans="1:6" x14ac:dyDescent="0.35">
      <c r="A397" t="s">
        <v>734</v>
      </c>
      <c r="B397" t="s">
        <v>735</v>
      </c>
      <c r="C397">
        <v>1</v>
      </c>
      <c r="F397">
        <v>0</v>
      </c>
    </row>
    <row r="398" spans="1:6" x14ac:dyDescent="0.35">
      <c r="A398" t="s">
        <v>736</v>
      </c>
      <c r="B398" t="s">
        <v>737</v>
      </c>
      <c r="C398">
        <v>1</v>
      </c>
      <c r="F398">
        <v>0</v>
      </c>
    </row>
    <row r="399" spans="1:6" x14ac:dyDescent="0.35">
      <c r="A399" t="s">
        <v>738</v>
      </c>
      <c r="B399" t="s">
        <v>739</v>
      </c>
      <c r="C399">
        <v>1</v>
      </c>
      <c r="F399">
        <v>0</v>
      </c>
    </row>
    <row r="400" spans="1:6" x14ac:dyDescent="0.35">
      <c r="A400" t="s">
        <v>740</v>
      </c>
      <c r="B400" t="s">
        <v>741</v>
      </c>
      <c r="C400">
        <v>1</v>
      </c>
      <c r="F400">
        <v>0</v>
      </c>
    </row>
    <row r="401" spans="1:6" x14ac:dyDescent="0.35">
      <c r="A401" t="s">
        <v>742</v>
      </c>
      <c r="C401">
        <v>1</v>
      </c>
      <c r="F4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80F6-8CA6-4CA7-980D-2204E8F85CB4}">
  <dimension ref="A1:F168"/>
  <sheetViews>
    <sheetView workbookViewId="0">
      <selection sqref="A1:F1048576"/>
    </sheetView>
  </sheetViews>
  <sheetFormatPr defaultRowHeight="14.5" x14ac:dyDescent="0.35"/>
  <cols>
    <col min="1" max="1" width="85.08984375" customWidth="1"/>
    <col min="2" max="2" width="10.26953125" customWidth="1"/>
  </cols>
  <sheetData>
    <row r="1" spans="1:6" x14ac:dyDescent="0.35">
      <c r="A1" s="1" t="s">
        <v>743</v>
      </c>
      <c r="B1" s="1" t="s">
        <v>744</v>
      </c>
      <c r="C1" s="1" t="s">
        <v>745</v>
      </c>
      <c r="D1" s="1" t="s">
        <v>746</v>
      </c>
      <c r="E1" s="1" t="s">
        <v>747</v>
      </c>
      <c r="F1" s="1" t="s">
        <v>748</v>
      </c>
    </row>
    <row r="2" spans="1:6" x14ac:dyDescent="0.35">
      <c r="A2" t="s">
        <v>896</v>
      </c>
      <c r="B2" t="s">
        <v>897</v>
      </c>
      <c r="C2">
        <v>1220</v>
      </c>
      <c r="D2" t="s">
        <v>2</v>
      </c>
      <c r="E2">
        <v>6981.9198542805098</v>
      </c>
      <c r="F2">
        <v>8517942.222222222</v>
      </c>
    </row>
    <row r="3" spans="1:6" x14ac:dyDescent="0.35">
      <c r="A3" t="s">
        <v>898</v>
      </c>
      <c r="B3" t="s">
        <v>897</v>
      </c>
      <c r="C3">
        <v>1210</v>
      </c>
      <c r="D3" t="s">
        <v>2</v>
      </c>
      <c r="E3">
        <v>6981.9198542805098</v>
      </c>
      <c r="F3">
        <v>8448123.0236794166</v>
      </c>
    </row>
    <row r="4" spans="1:6" x14ac:dyDescent="0.35">
      <c r="A4" t="s">
        <v>899</v>
      </c>
      <c r="B4" t="s">
        <v>900</v>
      </c>
      <c r="C4">
        <v>1199</v>
      </c>
      <c r="D4" t="s">
        <v>5</v>
      </c>
      <c r="E4">
        <v>6535.7600055393987</v>
      </c>
      <c r="F4">
        <v>7836376.2466417393</v>
      </c>
    </row>
    <row r="5" spans="1:6" x14ac:dyDescent="0.35">
      <c r="A5" t="s">
        <v>901</v>
      </c>
      <c r="B5" t="s">
        <v>900</v>
      </c>
      <c r="C5">
        <v>1027</v>
      </c>
      <c r="D5" t="s">
        <v>5</v>
      </c>
      <c r="E5">
        <v>6535.7600055393987</v>
      </c>
      <c r="F5">
        <v>6712225.5256889621</v>
      </c>
    </row>
    <row r="6" spans="1:6" x14ac:dyDescent="0.35">
      <c r="A6" t="s">
        <v>902</v>
      </c>
      <c r="B6" t="s">
        <v>897</v>
      </c>
      <c r="C6">
        <v>762</v>
      </c>
      <c r="D6" t="s">
        <v>2</v>
      </c>
      <c r="E6">
        <v>6981.9198542805098</v>
      </c>
      <c r="F6">
        <v>5320222.9289617483</v>
      </c>
    </row>
    <row r="7" spans="1:6" x14ac:dyDescent="0.35">
      <c r="A7" t="s">
        <v>903</v>
      </c>
      <c r="B7" t="s">
        <v>904</v>
      </c>
      <c r="C7">
        <v>727</v>
      </c>
      <c r="D7" t="s">
        <v>2</v>
      </c>
      <c r="E7">
        <v>6111</v>
      </c>
      <c r="F7">
        <v>4442697</v>
      </c>
    </row>
    <row r="8" spans="1:6" x14ac:dyDescent="0.35">
      <c r="A8" t="s">
        <v>905</v>
      </c>
      <c r="B8" t="s">
        <v>354</v>
      </c>
      <c r="C8">
        <v>1440</v>
      </c>
      <c r="D8" t="s">
        <v>2</v>
      </c>
      <c r="E8">
        <v>2550.6531061022538</v>
      </c>
      <c r="F8">
        <v>3672940.4727872461</v>
      </c>
    </row>
    <row r="9" spans="1:6" x14ac:dyDescent="0.35">
      <c r="A9" t="s">
        <v>906</v>
      </c>
      <c r="B9" t="s">
        <v>907</v>
      </c>
      <c r="C9">
        <v>1203</v>
      </c>
      <c r="D9" t="s">
        <v>2</v>
      </c>
      <c r="E9">
        <v>2187.6801521438451</v>
      </c>
      <c r="F9">
        <v>2631779.2230290459</v>
      </c>
    </row>
    <row r="10" spans="1:6" x14ac:dyDescent="0.35">
      <c r="A10" t="s">
        <v>908</v>
      </c>
      <c r="B10" t="s">
        <v>909</v>
      </c>
      <c r="C10">
        <v>800</v>
      </c>
      <c r="D10" t="s">
        <v>5</v>
      </c>
      <c r="E10">
        <v>3241.0402262727839</v>
      </c>
      <c r="F10">
        <v>2592832.1810182282</v>
      </c>
    </row>
    <row r="11" spans="1:6" x14ac:dyDescent="0.35">
      <c r="A11" t="s">
        <v>910</v>
      </c>
      <c r="B11" t="s">
        <v>907</v>
      </c>
      <c r="C11">
        <v>1163</v>
      </c>
      <c r="D11" t="s">
        <v>2</v>
      </c>
      <c r="E11">
        <v>2187.6801521438451</v>
      </c>
      <c r="F11">
        <v>2544272.0169432922</v>
      </c>
    </row>
    <row r="12" spans="1:6" x14ac:dyDescent="0.35">
      <c r="A12" t="s">
        <v>911</v>
      </c>
      <c r="B12" t="s">
        <v>189</v>
      </c>
      <c r="C12">
        <v>13</v>
      </c>
      <c r="D12" t="s">
        <v>5</v>
      </c>
      <c r="E12">
        <v>189150.71428571429</v>
      </c>
      <c r="F12">
        <v>2458959.2857142859</v>
      </c>
    </row>
    <row r="13" spans="1:6" x14ac:dyDescent="0.35">
      <c r="A13" t="s">
        <v>912</v>
      </c>
      <c r="B13" t="s">
        <v>118</v>
      </c>
      <c r="C13">
        <v>19</v>
      </c>
      <c r="D13" t="s">
        <v>5</v>
      </c>
      <c r="E13">
        <v>126089.9310344828</v>
      </c>
      <c r="F13">
        <v>2395708.6896551722</v>
      </c>
    </row>
    <row r="14" spans="1:6" x14ac:dyDescent="0.35">
      <c r="A14" t="s">
        <v>913</v>
      </c>
      <c r="B14" t="s">
        <v>914</v>
      </c>
      <c r="C14">
        <v>6</v>
      </c>
      <c r="D14" t="s">
        <v>5</v>
      </c>
      <c r="E14">
        <v>376592.4375</v>
      </c>
      <c r="F14">
        <v>2259554.625</v>
      </c>
    </row>
    <row r="15" spans="1:6" x14ac:dyDescent="0.35">
      <c r="A15" t="s">
        <v>915</v>
      </c>
      <c r="B15" t="s">
        <v>677</v>
      </c>
      <c r="C15">
        <v>2227</v>
      </c>
      <c r="D15" t="s">
        <v>5</v>
      </c>
      <c r="E15">
        <v>810.27679488642843</v>
      </c>
      <c r="F15">
        <v>1804486.4222120759</v>
      </c>
    </row>
    <row r="16" spans="1:6" x14ac:dyDescent="0.35">
      <c r="A16" t="s">
        <v>916</v>
      </c>
      <c r="B16" t="s">
        <v>108</v>
      </c>
      <c r="C16">
        <v>74</v>
      </c>
      <c r="D16" t="s">
        <v>5</v>
      </c>
      <c r="E16">
        <v>23371.03921568628</v>
      </c>
      <c r="F16">
        <v>1729456.9019607841</v>
      </c>
    </row>
    <row r="17" spans="1:6" x14ac:dyDescent="0.35">
      <c r="A17" t="s">
        <v>917</v>
      </c>
      <c r="B17" t="s">
        <v>918</v>
      </c>
      <c r="C17">
        <v>55</v>
      </c>
      <c r="D17" t="s">
        <v>2</v>
      </c>
      <c r="E17">
        <v>26030.396551724141</v>
      </c>
      <c r="F17">
        <v>1431671.8103448281</v>
      </c>
    </row>
    <row r="18" spans="1:6" x14ac:dyDescent="0.35">
      <c r="A18" t="s">
        <v>919</v>
      </c>
      <c r="B18" t="s">
        <v>112</v>
      </c>
      <c r="C18">
        <v>101</v>
      </c>
      <c r="D18" t="s">
        <v>2</v>
      </c>
      <c r="E18">
        <v>12605.11955241461</v>
      </c>
      <c r="F18">
        <v>1273117.074793875</v>
      </c>
    </row>
    <row r="19" spans="1:6" x14ac:dyDescent="0.35">
      <c r="A19" t="s">
        <v>920</v>
      </c>
      <c r="B19" t="s">
        <v>54</v>
      </c>
      <c r="C19">
        <v>55</v>
      </c>
      <c r="D19" t="s">
        <v>2</v>
      </c>
      <c r="E19">
        <v>22295.682539682541</v>
      </c>
      <c r="F19">
        <v>1226262.5396825401</v>
      </c>
    </row>
    <row r="20" spans="1:6" x14ac:dyDescent="0.35">
      <c r="A20" t="s">
        <v>921</v>
      </c>
      <c r="B20" t="s">
        <v>922</v>
      </c>
      <c r="C20">
        <v>5</v>
      </c>
      <c r="D20" t="s">
        <v>2</v>
      </c>
      <c r="E20">
        <v>233209.16666666669</v>
      </c>
      <c r="F20">
        <v>1166045.833333333</v>
      </c>
    </row>
    <row r="21" spans="1:6" x14ac:dyDescent="0.35">
      <c r="A21" t="s">
        <v>923</v>
      </c>
      <c r="B21" t="s">
        <v>924</v>
      </c>
      <c r="C21">
        <v>218</v>
      </c>
      <c r="D21" t="s">
        <v>5</v>
      </c>
      <c r="E21">
        <v>5257.2072072072069</v>
      </c>
      <c r="F21">
        <v>1146071.1711711709</v>
      </c>
    </row>
    <row r="22" spans="1:6" x14ac:dyDescent="0.35">
      <c r="A22" t="s">
        <v>925</v>
      </c>
      <c r="B22" t="s">
        <v>785</v>
      </c>
      <c r="C22">
        <v>11</v>
      </c>
      <c r="D22" t="s">
        <v>2</v>
      </c>
      <c r="E22">
        <v>102708.27272727271</v>
      </c>
      <c r="F22">
        <v>1129791</v>
      </c>
    </row>
    <row r="23" spans="1:6" x14ac:dyDescent="0.35">
      <c r="A23" t="s">
        <v>926</v>
      </c>
      <c r="B23" t="s">
        <v>927</v>
      </c>
      <c r="C23">
        <v>15</v>
      </c>
      <c r="D23" t="s">
        <v>2</v>
      </c>
      <c r="E23">
        <v>72974.880952380947</v>
      </c>
      <c r="F23">
        <v>1094623.2142857141</v>
      </c>
    </row>
    <row r="24" spans="1:6" x14ac:dyDescent="0.35">
      <c r="A24" t="s">
        <v>928</v>
      </c>
      <c r="B24" t="s">
        <v>929</v>
      </c>
      <c r="C24">
        <v>11</v>
      </c>
      <c r="D24" t="s">
        <v>5</v>
      </c>
      <c r="E24">
        <v>98009.1</v>
      </c>
      <c r="F24">
        <v>1078100.1000000001</v>
      </c>
    </row>
    <row r="25" spans="1:6" x14ac:dyDescent="0.35">
      <c r="A25" t="s">
        <v>930</v>
      </c>
      <c r="B25" t="s">
        <v>541</v>
      </c>
      <c r="C25">
        <v>100</v>
      </c>
      <c r="D25" t="s">
        <v>2</v>
      </c>
      <c r="E25">
        <v>9672.9604278074858</v>
      </c>
      <c r="F25">
        <v>967296.04278074857</v>
      </c>
    </row>
    <row r="26" spans="1:6" x14ac:dyDescent="0.35">
      <c r="A26" t="s">
        <v>931</v>
      </c>
      <c r="B26" t="s">
        <v>177</v>
      </c>
      <c r="C26">
        <v>28</v>
      </c>
      <c r="D26" t="s">
        <v>2</v>
      </c>
      <c r="E26">
        <v>34511.294117647063</v>
      </c>
      <c r="F26">
        <v>966316.23529411759</v>
      </c>
    </row>
    <row r="27" spans="1:6" x14ac:dyDescent="0.35">
      <c r="A27" t="s">
        <v>932</v>
      </c>
      <c r="B27" t="s">
        <v>161</v>
      </c>
      <c r="C27">
        <v>28</v>
      </c>
      <c r="D27" t="s">
        <v>5</v>
      </c>
      <c r="E27">
        <v>33409.701570680627</v>
      </c>
      <c r="F27">
        <v>935471.64397905755</v>
      </c>
    </row>
    <row r="28" spans="1:6" x14ac:dyDescent="0.35">
      <c r="A28" t="s">
        <v>933</v>
      </c>
      <c r="B28" t="s">
        <v>934</v>
      </c>
      <c r="C28">
        <v>200</v>
      </c>
      <c r="D28" t="s">
        <v>2</v>
      </c>
      <c r="E28">
        <v>4675.6315789473683</v>
      </c>
      <c r="F28">
        <v>935126.31578947371</v>
      </c>
    </row>
    <row r="29" spans="1:6" x14ac:dyDescent="0.35">
      <c r="A29" t="s">
        <v>935</v>
      </c>
      <c r="B29" t="s">
        <v>929</v>
      </c>
      <c r="C29">
        <v>9</v>
      </c>
      <c r="D29" t="s">
        <v>5</v>
      </c>
      <c r="E29">
        <v>98009.1</v>
      </c>
      <c r="F29">
        <v>882081.9</v>
      </c>
    </row>
    <row r="30" spans="1:6" x14ac:dyDescent="0.35">
      <c r="A30" t="s">
        <v>936</v>
      </c>
      <c r="B30" t="s">
        <v>677</v>
      </c>
      <c r="C30">
        <v>1000</v>
      </c>
      <c r="D30" t="s">
        <v>5</v>
      </c>
      <c r="E30">
        <v>810.27679488642843</v>
      </c>
      <c r="F30">
        <v>810276.7948864284</v>
      </c>
    </row>
    <row r="31" spans="1:6" x14ac:dyDescent="0.35">
      <c r="A31" t="s">
        <v>937</v>
      </c>
      <c r="B31" t="s">
        <v>153</v>
      </c>
      <c r="C31">
        <v>54</v>
      </c>
      <c r="D31" t="s">
        <v>2</v>
      </c>
      <c r="E31">
        <v>14960</v>
      </c>
      <c r="F31">
        <v>807840</v>
      </c>
    </row>
    <row r="32" spans="1:6" x14ac:dyDescent="0.35">
      <c r="A32" t="s">
        <v>938</v>
      </c>
      <c r="B32" t="s">
        <v>211</v>
      </c>
      <c r="C32">
        <v>192</v>
      </c>
      <c r="D32" t="s">
        <v>2</v>
      </c>
      <c r="E32">
        <v>3960</v>
      </c>
      <c r="F32">
        <v>760320</v>
      </c>
    </row>
    <row r="33" spans="1:6" x14ac:dyDescent="0.35">
      <c r="A33" t="s">
        <v>939</v>
      </c>
      <c r="B33" t="s">
        <v>914</v>
      </c>
      <c r="C33">
        <v>2</v>
      </c>
      <c r="D33" t="s">
        <v>5</v>
      </c>
      <c r="E33">
        <v>376592.4375</v>
      </c>
      <c r="F33">
        <v>753184.875</v>
      </c>
    </row>
    <row r="34" spans="1:6" x14ac:dyDescent="0.35">
      <c r="A34" t="s">
        <v>939</v>
      </c>
      <c r="B34" t="s">
        <v>914</v>
      </c>
      <c r="C34">
        <v>2</v>
      </c>
      <c r="D34" t="s">
        <v>5</v>
      </c>
      <c r="E34">
        <v>376592.4375</v>
      </c>
      <c r="F34">
        <v>753184.875</v>
      </c>
    </row>
    <row r="35" spans="1:6" x14ac:dyDescent="0.35">
      <c r="A35" t="s">
        <v>940</v>
      </c>
      <c r="B35" t="s">
        <v>173</v>
      </c>
      <c r="C35">
        <v>16</v>
      </c>
      <c r="D35" t="s">
        <v>5</v>
      </c>
      <c r="E35">
        <v>41943.190476190473</v>
      </c>
      <c r="F35">
        <v>671091.04761904757</v>
      </c>
    </row>
    <row r="36" spans="1:6" x14ac:dyDescent="0.35">
      <c r="A36" t="s">
        <v>941</v>
      </c>
      <c r="B36" t="s">
        <v>942</v>
      </c>
      <c r="C36">
        <v>405</v>
      </c>
      <c r="D36" t="s">
        <v>2</v>
      </c>
      <c r="E36">
        <v>1652.589064748202</v>
      </c>
      <c r="F36">
        <v>669298.5712230216</v>
      </c>
    </row>
    <row r="37" spans="1:6" x14ac:dyDescent="0.35">
      <c r="A37" t="s">
        <v>943</v>
      </c>
      <c r="B37" t="s">
        <v>944</v>
      </c>
      <c r="C37">
        <v>1</v>
      </c>
      <c r="D37" t="s">
        <v>5</v>
      </c>
      <c r="E37">
        <v>626289</v>
      </c>
      <c r="F37">
        <v>626289</v>
      </c>
    </row>
    <row r="38" spans="1:6" x14ac:dyDescent="0.35">
      <c r="A38" t="s">
        <v>945</v>
      </c>
      <c r="B38" t="s">
        <v>161</v>
      </c>
      <c r="C38">
        <v>18</v>
      </c>
      <c r="D38" t="s">
        <v>5</v>
      </c>
      <c r="E38">
        <v>33409.701570680627</v>
      </c>
      <c r="F38">
        <v>601374.62827225123</v>
      </c>
    </row>
    <row r="39" spans="1:6" x14ac:dyDescent="0.35">
      <c r="A39" t="s">
        <v>946</v>
      </c>
      <c r="B39" t="s">
        <v>942</v>
      </c>
      <c r="C39">
        <v>360</v>
      </c>
      <c r="D39" t="s">
        <v>2</v>
      </c>
      <c r="E39">
        <v>1652.589064748202</v>
      </c>
      <c r="F39">
        <v>594932.0633093525</v>
      </c>
    </row>
    <row r="40" spans="1:6" x14ac:dyDescent="0.35">
      <c r="A40" t="s">
        <v>947</v>
      </c>
      <c r="B40" t="s">
        <v>948</v>
      </c>
      <c r="C40">
        <v>30</v>
      </c>
      <c r="D40" t="s">
        <v>5</v>
      </c>
      <c r="E40">
        <v>19447.121212121208</v>
      </c>
      <c r="F40">
        <v>583413.63636363635</v>
      </c>
    </row>
    <row r="41" spans="1:6" x14ac:dyDescent="0.35">
      <c r="A41" t="s">
        <v>949</v>
      </c>
      <c r="B41" t="s">
        <v>950</v>
      </c>
      <c r="C41">
        <v>19</v>
      </c>
      <c r="D41" t="s">
        <v>5</v>
      </c>
      <c r="E41">
        <v>30368.793103448279</v>
      </c>
      <c r="F41">
        <v>577007.06896551722</v>
      </c>
    </row>
    <row r="42" spans="1:6" x14ac:dyDescent="0.35">
      <c r="A42" t="s">
        <v>951</v>
      </c>
      <c r="B42" t="s">
        <v>952</v>
      </c>
      <c r="C42">
        <v>15</v>
      </c>
      <c r="D42" t="s">
        <v>5</v>
      </c>
      <c r="E42">
        <v>38408.480446927373</v>
      </c>
      <c r="F42">
        <v>576127.2067039106</v>
      </c>
    </row>
    <row r="43" spans="1:6" x14ac:dyDescent="0.35">
      <c r="A43" t="s">
        <v>953</v>
      </c>
      <c r="B43" t="s">
        <v>169</v>
      </c>
      <c r="C43">
        <v>500</v>
      </c>
      <c r="D43" t="s">
        <v>5</v>
      </c>
      <c r="E43">
        <v>1056</v>
      </c>
      <c r="F43">
        <v>528000</v>
      </c>
    </row>
    <row r="44" spans="1:6" x14ac:dyDescent="0.35">
      <c r="A44" t="s">
        <v>954</v>
      </c>
      <c r="B44" t="s">
        <v>677</v>
      </c>
      <c r="C44">
        <v>650</v>
      </c>
      <c r="D44" t="s">
        <v>5</v>
      </c>
      <c r="E44">
        <v>810.27679488642843</v>
      </c>
      <c r="F44">
        <v>526679.91667617846</v>
      </c>
    </row>
    <row r="45" spans="1:6" x14ac:dyDescent="0.35">
      <c r="A45" t="s">
        <v>955</v>
      </c>
      <c r="B45" t="s">
        <v>956</v>
      </c>
      <c r="C45">
        <v>170</v>
      </c>
      <c r="D45" t="s">
        <v>2</v>
      </c>
      <c r="E45">
        <v>3083.84705882353</v>
      </c>
      <c r="F45">
        <v>524254</v>
      </c>
    </row>
    <row r="46" spans="1:6" x14ac:dyDescent="0.35">
      <c r="A46" t="s">
        <v>957</v>
      </c>
      <c r="B46" t="s">
        <v>193</v>
      </c>
      <c r="C46">
        <v>199</v>
      </c>
      <c r="D46" t="s">
        <v>2</v>
      </c>
      <c r="E46">
        <v>2262.160682754562</v>
      </c>
      <c r="F46">
        <v>450169.97586815781</v>
      </c>
    </row>
    <row r="47" spans="1:6" x14ac:dyDescent="0.35">
      <c r="A47" t="s">
        <v>958</v>
      </c>
      <c r="B47" t="s">
        <v>959</v>
      </c>
      <c r="C47">
        <v>6</v>
      </c>
      <c r="D47" t="s">
        <v>2</v>
      </c>
      <c r="E47">
        <v>72974.833333333328</v>
      </c>
      <c r="F47">
        <v>437849</v>
      </c>
    </row>
    <row r="48" spans="1:6" x14ac:dyDescent="0.35">
      <c r="A48" t="s">
        <v>960</v>
      </c>
      <c r="B48" t="s">
        <v>961</v>
      </c>
      <c r="C48">
        <v>41</v>
      </c>
      <c r="D48" t="s">
        <v>2</v>
      </c>
      <c r="E48">
        <v>10517.90909090909</v>
      </c>
      <c r="F48">
        <v>431234.27272727271</v>
      </c>
    </row>
    <row r="49" spans="1:6" x14ac:dyDescent="0.35">
      <c r="A49" t="s">
        <v>962</v>
      </c>
      <c r="B49" t="s">
        <v>44</v>
      </c>
      <c r="C49">
        <v>9</v>
      </c>
      <c r="D49" t="s">
        <v>2</v>
      </c>
      <c r="E49">
        <v>46493.90625</v>
      </c>
      <c r="F49">
        <v>418445.15625</v>
      </c>
    </row>
    <row r="50" spans="1:6" x14ac:dyDescent="0.35">
      <c r="A50" t="s">
        <v>963</v>
      </c>
      <c r="B50" t="s">
        <v>964</v>
      </c>
      <c r="C50">
        <v>332</v>
      </c>
      <c r="D50" t="s">
        <v>2</v>
      </c>
      <c r="E50">
        <v>1254.5</v>
      </c>
      <c r="F50">
        <v>416494</v>
      </c>
    </row>
    <row r="51" spans="1:6" x14ac:dyDescent="0.35">
      <c r="A51" t="s">
        <v>965</v>
      </c>
      <c r="B51" t="s">
        <v>900</v>
      </c>
      <c r="C51">
        <v>61</v>
      </c>
      <c r="D51" t="s">
        <v>5</v>
      </c>
      <c r="E51">
        <v>6535.7600055393987</v>
      </c>
      <c r="F51">
        <v>398681.36033790332</v>
      </c>
    </row>
    <row r="52" spans="1:6" x14ac:dyDescent="0.35">
      <c r="A52" t="s">
        <v>966</v>
      </c>
      <c r="B52" t="s">
        <v>914</v>
      </c>
      <c r="C52">
        <v>1</v>
      </c>
      <c r="D52" t="s">
        <v>5</v>
      </c>
      <c r="E52">
        <v>376592.4375</v>
      </c>
      <c r="F52">
        <v>376592.4375</v>
      </c>
    </row>
    <row r="53" spans="1:6" x14ac:dyDescent="0.35">
      <c r="A53" t="s">
        <v>967</v>
      </c>
      <c r="B53" t="s">
        <v>968</v>
      </c>
      <c r="C53">
        <v>28</v>
      </c>
      <c r="D53" t="s">
        <v>5</v>
      </c>
      <c r="E53">
        <v>13095</v>
      </c>
      <c r="F53">
        <v>366660</v>
      </c>
    </row>
    <row r="54" spans="1:6" x14ac:dyDescent="0.35">
      <c r="A54" t="s">
        <v>969</v>
      </c>
      <c r="B54" t="s">
        <v>112</v>
      </c>
      <c r="C54">
        <v>28</v>
      </c>
      <c r="D54" t="s">
        <v>2</v>
      </c>
      <c r="E54">
        <v>12605.11955241461</v>
      </c>
      <c r="F54">
        <v>352943.34746760898</v>
      </c>
    </row>
    <row r="55" spans="1:6" x14ac:dyDescent="0.35">
      <c r="A55" t="s">
        <v>970</v>
      </c>
      <c r="B55" t="s">
        <v>971</v>
      </c>
      <c r="C55">
        <v>127</v>
      </c>
      <c r="D55" t="s">
        <v>2</v>
      </c>
      <c r="E55">
        <v>2706.3</v>
      </c>
      <c r="F55">
        <v>343700.1</v>
      </c>
    </row>
    <row r="56" spans="1:6" x14ac:dyDescent="0.35">
      <c r="A56" t="s">
        <v>972</v>
      </c>
      <c r="B56" t="s">
        <v>964</v>
      </c>
      <c r="C56">
        <v>268</v>
      </c>
      <c r="D56" t="s">
        <v>2</v>
      </c>
      <c r="E56">
        <v>1254.5</v>
      </c>
      <c r="F56">
        <v>336206</v>
      </c>
    </row>
    <row r="57" spans="1:6" x14ac:dyDescent="0.35">
      <c r="A57" t="s">
        <v>973</v>
      </c>
      <c r="B57" t="s">
        <v>974</v>
      </c>
      <c r="C57">
        <v>135</v>
      </c>
      <c r="D57" t="s">
        <v>5</v>
      </c>
      <c r="E57">
        <v>2447.9636363636359</v>
      </c>
      <c r="F57">
        <v>330475.09090909088</v>
      </c>
    </row>
    <row r="58" spans="1:6" x14ac:dyDescent="0.35">
      <c r="A58" t="s">
        <v>975</v>
      </c>
      <c r="B58" t="s">
        <v>976</v>
      </c>
      <c r="C58">
        <v>942</v>
      </c>
      <c r="D58" t="s">
        <v>2</v>
      </c>
      <c r="E58">
        <v>349.19986979166669</v>
      </c>
      <c r="F58">
        <v>328946.27734375</v>
      </c>
    </row>
    <row r="59" spans="1:6" x14ac:dyDescent="0.35">
      <c r="A59" t="s">
        <v>977</v>
      </c>
      <c r="B59" t="s">
        <v>785</v>
      </c>
      <c r="C59">
        <v>3</v>
      </c>
      <c r="D59" t="s">
        <v>2</v>
      </c>
      <c r="E59">
        <v>102708.27272727271</v>
      </c>
      <c r="F59">
        <v>308124.81818181818</v>
      </c>
    </row>
    <row r="60" spans="1:6" x14ac:dyDescent="0.35">
      <c r="A60" t="s">
        <v>146</v>
      </c>
      <c r="B60" t="s">
        <v>147</v>
      </c>
      <c r="C60">
        <v>1</v>
      </c>
      <c r="D60" t="s">
        <v>5</v>
      </c>
      <c r="E60">
        <v>262764</v>
      </c>
      <c r="F60">
        <v>262764</v>
      </c>
    </row>
    <row r="61" spans="1:6" x14ac:dyDescent="0.35">
      <c r="A61" t="s">
        <v>978</v>
      </c>
      <c r="B61" t="s">
        <v>979</v>
      </c>
      <c r="C61">
        <v>25</v>
      </c>
      <c r="D61" t="s">
        <v>2</v>
      </c>
      <c r="E61">
        <v>10226.32</v>
      </c>
      <c r="F61">
        <v>255658</v>
      </c>
    </row>
    <row r="62" spans="1:6" x14ac:dyDescent="0.35">
      <c r="A62" t="s">
        <v>980</v>
      </c>
      <c r="B62" t="s">
        <v>411</v>
      </c>
      <c r="C62">
        <v>5</v>
      </c>
      <c r="D62" t="s">
        <v>5</v>
      </c>
      <c r="E62">
        <v>47623</v>
      </c>
      <c r="F62">
        <v>238115</v>
      </c>
    </row>
    <row r="63" spans="1:6" x14ac:dyDescent="0.35">
      <c r="A63" t="s">
        <v>981</v>
      </c>
      <c r="B63" t="s">
        <v>982</v>
      </c>
      <c r="C63">
        <v>200</v>
      </c>
      <c r="D63" t="s">
        <v>2</v>
      </c>
      <c r="E63">
        <v>1084.158139534884</v>
      </c>
      <c r="F63">
        <v>216831.6279069767</v>
      </c>
    </row>
    <row r="64" spans="1:6" x14ac:dyDescent="0.35">
      <c r="A64" t="s">
        <v>983</v>
      </c>
      <c r="B64" t="s">
        <v>80</v>
      </c>
      <c r="C64">
        <v>30</v>
      </c>
      <c r="D64" t="s">
        <v>5</v>
      </c>
      <c r="E64">
        <v>6387.9232995658467</v>
      </c>
      <c r="F64">
        <v>191637.69898697539</v>
      </c>
    </row>
    <row r="65" spans="1:6" x14ac:dyDescent="0.35">
      <c r="A65" t="s">
        <v>984</v>
      </c>
      <c r="B65" t="s">
        <v>985</v>
      </c>
      <c r="C65">
        <v>78</v>
      </c>
      <c r="D65" t="s">
        <v>2</v>
      </c>
      <c r="E65">
        <v>2034.0897435897441</v>
      </c>
      <c r="F65">
        <v>158659</v>
      </c>
    </row>
    <row r="66" spans="1:6" x14ac:dyDescent="0.35">
      <c r="A66" t="s">
        <v>986</v>
      </c>
      <c r="B66" t="s">
        <v>987</v>
      </c>
      <c r="C66">
        <v>76</v>
      </c>
      <c r="D66" t="s">
        <v>5</v>
      </c>
      <c r="E66">
        <v>2057.9629080118689</v>
      </c>
      <c r="F66">
        <v>156405.18100890209</v>
      </c>
    </row>
    <row r="67" spans="1:6" x14ac:dyDescent="0.35">
      <c r="A67" t="s">
        <v>988</v>
      </c>
      <c r="B67" t="s">
        <v>952</v>
      </c>
      <c r="C67">
        <v>4</v>
      </c>
      <c r="D67" t="s">
        <v>5</v>
      </c>
      <c r="E67">
        <v>38408.480446927373</v>
      </c>
      <c r="F67">
        <v>153633.92178770949</v>
      </c>
    </row>
    <row r="68" spans="1:6" x14ac:dyDescent="0.35">
      <c r="A68" t="s">
        <v>989</v>
      </c>
      <c r="B68" t="s">
        <v>677</v>
      </c>
      <c r="C68">
        <v>179</v>
      </c>
      <c r="D68" t="s">
        <v>5</v>
      </c>
      <c r="E68">
        <v>810.27679488642843</v>
      </c>
      <c r="F68">
        <v>145039.54628467071</v>
      </c>
    </row>
    <row r="69" spans="1:6" x14ac:dyDescent="0.35">
      <c r="A69" t="s">
        <v>990</v>
      </c>
      <c r="B69" t="s">
        <v>677</v>
      </c>
      <c r="C69">
        <v>176</v>
      </c>
      <c r="D69" t="s">
        <v>5</v>
      </c>
      <c r="E69">
        <v>810.27679488642843</v>
      </c>
      <c r="F69">
        <v>142608.71590001139</v>
      </c>
    </row>
    <row r="70" spans="1:6" x14ac:dyDescent="0.35">
      <c r="A70" t="s">
        <v>991</v>
      </c>
      <c r="B70" t="s">
        <v>992</v>
      </c>
      <c r="C70">
        <v>6</v>
      </c>
      <c r="D70" t="s">
        <v>2</v>
      </c>
      <c r="E70">
        <v>23011.392156862741</v>
      </c>
      <c r="F70">
        <v>138068.3529411765</v>
      </c>
    </row>
    <row r="71" spans="1:6" x14ac:dyDescent="0.35">
      <c r="A71" t="s">
        <v>993</v>
      </c>
      <c r="B71" t="s">
        <v>856</v>
      </c>
      <c r="C71">
        <v>57</v>
      </c>
      <c r="D71" t="s">
        <v>2</v>
      </c>
      <c r="E71">
        <v>2242.247422680412</v>
      </c>
      <c r="F71">
        <v>127808.10309278349</v>
      </c>
    </row>
    <row r="72" spans="1:6" x14ac:dyDescent="0.35">
      <c r="A72" t="s">
        <v>239</v>
      </c>
      <c r="B72" t="s">
        <v>118</v>
      </c>
      <c r="C72">
        <v>1</v>
      </c>
      <c r="D72" t="s">
        <v>5</v>
      </c>
      <c r="E72">
        <v>126089.9310344828</v>
      </c>
      <c r="F72">
        <v>126089.9310344828</v>
      </c>
    </row>
    <row r="73" spans="1:6" x14ac:dyDescent="0.35">
      <c r="A73" t="s">
        <v>994</v>
      </c>
      <c r="B73" t="s">
        <v>995</v>
      </c>
      <c r="C73">
        <v>1</v>
      </c>
      <c r="D73" t="s">
        <v>5</v>
      </c>
      <c r="E73">
        <v>122100</v>
      </c>
      <c r="F73">
        <v>122100</v>
      </c>
    </row>
    <row r="74" spans="1:6" x14ac:dyDescent="0.35">
      <c r="A74" t="s">
        <v>996</v>
      </c>
      <c r="B74" t="s">
        <v>997</v>
      </c>
      <c r="C74">
        <v>1</v>
      </c>
      <c r="D74" t="s">
        <v>871</v>
      </c>
      <c r="E74">
        <v>117501</v>
      </c>
      <c r="F74">
        <v>117501</v>
      </c>
    </row>
    <row r="75" spans="1:6" x14ac:dyDescent="0.35">
      <c r="A75" t="s">
        <v>998</v>
      </c>
      <c r="B75" t="s">
        <v>999</v>
      </c>
      <c r="C75">
        <v>10</v>
      </c>
      <c r="D75" t="s">
        <v>2</v>
      </c>
      <c r="E75">
        <v>11552.384615384621</v>
      </c>
      <c r="F75">
        <v>115523.8461538462</v>
      </c>
    </row>
    <row r="76" spans="1:6" x14ac:dyDescent="0.35">
      <c r="A76" t="s">
        <v>1000</v>
      </c>
      <c r="B76" t="s">
        <v>1001</v>
      </c>
      <c r="C76">
        <v>85</v>
      </c>
      <c r="D76" t="s">
        <v>5</v>
      </c>
      <c r="E76">
        <v>1324.2940206185569</v>
      </c>
      <c r="F76">
        <v>112564.99175257731</v>
      </c>
    </row>
    <row r="77" spans="1:6" x14ac:dyDescent="0.35">
      <c r="A77" t="s">
        <v>1002</v>
      </c>
      <c r="B77" t="s">
        <v>1003</v>
      </c>
      <c r="C77">
        <v>150</v>
      </c>
      <c r="D77" t="s">
        <v>2</v>
      </c>
      <c r="E77">
        <v>607.20000000000005</v>
      </c>
      <c r="F77">
        <v>91080</v>
      </c>
    </row>
    <row r="78" spans="1:6" x14ac:dyDescent="0.35">
      <c r="A78" t="s">
        <v>1004</v>
      </c>
      <c r="B78" t="s">
        <v>1005</v>
      </c>
      <c r="C78">
        <v>22</v>
      </c>
      <c r="D78" t="s">
        <v>2</v>
      </c>
      <c r="E78">
        <v>3818.363636363636</v>
      </c>
      <c r="F78">
        <v>84004</v>
      </c>
    </row>
    <row r="79" spans="1:6" x14ac:dyDescent="0.35">
      <c r="A79" t="s">
        <v>1006</v>
      </c>
      <c r="B79" t="s">
        <v>1007</v>
      </c>
      <c r="C79">
        <v>373</v>
      </c>
      <c r="D79" t="s">
        <v>5</v>
      </c>
      <c r="E79">
        <v>218.2493765586035</v>
      </c>
      <c r="F79">
        <v>81407.017456359099</v>
      </c>
    </row>
    <row r="80" spans="1:6" x14ac:dyDescent="0.35">
      <c r="A80" t="s">
        <v>1008</v>
      </c>
      <c r="B80" t="s">
        <v>1009</v>
      </c>
      <c r="C80">
        <v>15</v>
      </c>
      <c r="D80" t="s">
        <v>2</v>
      </c>
      <c r="E80">
        <v>4618.2105263157891</v>
      </c>
      <c r="F80">
        <v>69273.15789473684</v>
      </c>
    </row>
    <row r="81" spans="1:6" x14ac:dyDescent="0.35">
      <c r="A81" t="s">
        <v>1010</v>
      </c>
      <c r="B81" t="s">
        <v>1001</v>
      </c>
      <c r="C81">
        <v>50</v>
      </c>
      <c r="D81" t="s">
        <v>5</v>
      </c>
      <c r="E81">
        <v>1324.2940206185569</v>
      </c>
      <c r="F81">
        <v>66214.701030927841</v>
      </c>
    </row>
    <row r="82" spans="1:6" x14ac:dyDescent="0.35">
      <c r="A82" t="s">
        <v>1011</v>
      </c>
      <c r="B82" t="s">
        <v>856</v>
      </c>
      <c r="C82">
        <v>29</v>
      </c>
      <c r="D82" t="s">
        <v>2</v>
      </c>
      <c r="E82">
        <v>2242.247422680412</v>
      </c>
      <c r="F82">
        <v>65025.175257731957</v>
      </c>
    </row>
    <row r="83" spans="1:6" x14ac:dyDescent="0.35">
      <c r="A83" t="s">
        <v>1012</v>
      </c>
      <c r="B83" t="s">
        <v>1013</v>
      </c>
      <c r="C83">
        <v>1600</v>
      </c>
      <c r="D83" t="s">
        <v>2</v>
      </c>
      <c r="E83">
        <v>38.21125</v>
      </c>
      <c r="F83">
        <v>61138</v>
      </c>
    </row>
    <row r="84" spans="1:6" x14ac:dyDescent="0.35">
      <c r="A84" t="s">
        <v>1014</v>
      </c>
      <c r="B84" t="s">
        <v>863</v>
      </c>
      <c r="C84">
        <v>7</v>
      </c>
      <c r="D84" t="s">
        <v>864</v>
      </c>
      <c r="E84">
        <v>6683.6184210526317</v>
      </c>
      <c r="F84">
        <v>46785.32894736842</v>
      </c>
    </row>
    <row r="85" spans="1:6" x14ac:dyDescent="0.35">
      <c r="A85" t="s">
        <v>1015</v>
      </c>
      <c r="B85" t="s">
        <v>1016</v>
      </c>
      <c r="C85">
        <v>1</v>
      </c>
      <c r="D85" t="s">
        <v>5</v>
      </c>
      <c r="E85">
        <v>45775</v>
      </c>
      <c r="F85">
        <v>45775</v>
      </c>
    </row>
    <row r="86" spans="1:6" x14ac:dyDescent="0.35">
      <c r="A86" t="s">
        <v>1017</v>
      </c>
      <c r="B86" t="s">
        <v>1018</v>
      </c>
      <c r="C86">
        <v>7</v>
      </c>
      <c r="D86" t="s">
        <v>5</v>
      </c>
      <c r="E86">
        <v>6244.5714285714284</v>
      </c>
      <c r="F86">
        <v>43712</v>
      </c>
    </row>
    <row r="87" spans="1:6" x14ac:dyDescent="0.35">
      <c r="A87" t="s">
        <v>1019</v>
      </c>
      <c r="B87" t="s">
        <v>1020</v>
      </c>
      <c r="C87">
        <v>10</v>
      </c>
      <c r="D87" t="s">
        <v>2</v>
      </c>
      <c r="E87">
        <v>4188.3</v>
      </c>
      <c r="F87">
        <v>41883</v>
      </c>
    </row>
    <row r="88" spans="1:6" x14ac:dyDescent="0.35">
      <c r="A88" t="s">
        <v>1021</v>
      </c>
      <c r="B88" t="s">
        <v>1022</v>
      </c>
      <c r="C88">
        <v>1</v>
      </c>
      <c r="D88" t="s">
        <v>5</v>
      </c>
      <c r="E88">
        <v>41122.333333333343</v>
      </c>
      <c r="F88">
        <v>41122.333333333343</v>
      </c>
    </row>
    <row r="89" spans="1:6" x14ac:dyDescent="0.35">
      <c r="A89" t="s">
        <v>1023</v>
      </c>
      <c r="B89" t="s">
        <v>1024</v>
      </c>
      <c r="C89">
        <v>2</v>
      </c>
      <c r="D89" t="s">
        <v>2</v>
      </c>
      <c r="E89">
        <v>18259</v>
      </c>
      <c r="F89">
        <v>36518</v>
      </c>
    </row>
    <row r="90" spans="1:6" x14ac:dyDescent="0.35">
      <c r="A90" t="s">
        <v>1025</v>
      </c>
      <c r="B90" t="s">
        <v>707</v>
      </c>
      <c r="C90">
        <v>44</v>
      </c>
      <c r="D90" t="s">
        <v>2</v>
      </c>
      <c r="E90">
        <v>806.65277777777783</v>
      </c>
      <c r="F90">
        <v>35492.722222222234</v>
      </c>
    </row>
    <row r="91" spans="1:6" x14ac:dyDescent="0.35">
      <c r="A91" t="s">
        <v>1026</v>
      </c>
      <c r="B91" t="s">
        <v>1027</v>
      </c>
      <c r="C91">
        <v>20</v>
      </c>
      <c r="D91" t="s">
        <v>2</v>
      </c>
      <c r="E91">
        <v>1715.478260869565</v>
      </c>
      <c r="F91">
        <v>34309.565217391297</v>
      </c>
    </row>
    <row r="92" spans="1:6" x14ac:dyDescent="0.35">
      <c r="A92" t="s">
        <v>1028</v>
      </c>
      <c r="B92" t="s">
        <v>1029</v>
      </c>
      <c r="C92">
        <v>16</v>
      </c>
      <c r="D92" t="s">
        <v>2</v>
      </c>
      <c r="E92">
        <v>2095.166666666667</v>
      </c>
      <c r="F92">
        <v>33522.666666666657</v>
      </c>
    </row>
    <row r="93" spans="1:6" x14ac:dyDescent="0.35">
      <c r="A93" t="s">
        <v>1030</v>
      </c>
      <c r="B93" t="s">
        <v>1031</v>
      </c>
      <c r="C93">
        <v>10</v>
      </c>
      <c r="D93" t="s">
        <v>2</v>
      </c>
      <c r="E93">
        <v>3159.7222222222222</v>
      </c>
      <c r="F93">
        <v>31597.222222222219</v>
      </c>
    </row>
    <row r="94" spans="1:6" x14ac:dyDescent="0.35">
      <c r="A94" t="s">
        <v>1032</v>
      </c>
      <c r="B94" t="s">
        <v>1033</v>
      </c>
      <c r="C94">
        <v>1</v>
      </c>
      <c r="D94" t="s">
        <v>871</v>
      </c>
      <c r="E94">
        <v>25560</v>
      </c>
      <c r="F94">
        <v>25560</v>
      </c>
    </row>
    <row r="95" spans="1:6" x14ac:dyDescent="0.35">
      <c r="A95" t="s">
        <v>1034</v>
      </c>
      <c r="B95" t="s">
        <v>1035</v>
      </c>
      <c r="C95">
        <v>25</v>
      </c>
      <c r="D95" t="s">
        <v>2</v>
      </c>
      <c r="E95">
        <v>1017.92</v>
      </c>
      <c r="F95">
        <v>25448</v>
      </c>
    </row>
    <row r="96" spans="1:6" x14ac:dyDescent="0.35">
      <c r="A96" t="s">
        <v>1036</v>
      </c>
      <c r="B96" t="s">
        <v>1031</v>
      </c>
      <c r="C96">
        <v>8</v>
      </c>
      <c r="D96" t="s">
        <v>2</v>
      </c>
      <c r="E96">
        <v>3159.7222222222222</v>
      </c>
      <c r="F96">
        <v>25277.777777777781</v>
      </c>
    </row>
    <row r="97" spans="1:6" x14ac:dyDescent="0.35">
      <c r="A97" t="s">
        <v>1037</v>
      </c>
      <c r="B97" t="s">
        <v>999</v>
      </c>
      <c r="C97">
        <v>2</v>
      </c>
      <c r="D97" t="s">
        <v>2</v>
      </c>
      <c r="E97">
        <v>11552.384615384621</v>
      </c>
      <c r="F97">
        <v>23104.76923076923</v>
      </c>
    </row>
    <row r="98" spans="1:6" x14ac:dyDescent="0.35">
      <c r="A98" t="s">
        <v>1038</v>
      </c>
      <c r="B98" t="s">
        <v>1039</v>
      </c>
      <c r="C98">
        <v>32</v>
      </c>
      <c r="D98" t="s">
        <v>2</v>
      </c>
      <c r="E98">
        <v>715.4375</v>
      </c>
      <c r="F98">
        <v>22894</v>
      </c>
    </row>
    <row r="99" spans="1:6" x14ac:dyDescent="0.35">
      <c r="A99" t="s">
        <v>1040</v>
      </c>
      <c r="B99" t="s">
        <v>1041</v>
      </c>
      <c r="C99">
        <v>10</v>
      </c>
      <c r="D99" t="s">
        <v>2</v>
      </c>
      <c r="E99">
        <v>1920.6112469437651</v>
      </c>
      <c r="F99">
        <v>19206.112469437649</v>
      </c>
    </row>
    <row r="100" spans="1:6" x14ac:dyDescent="0.35">
      <c r="A100" t="s">
        <v>1042</v>
      </c>
      <c r="B100" t="s">
        <v>1009</v>
      </c>
      <c r="C100">
        <v>4</v>
      </c>
      <c r="D100" t="s">
        <v>2</v>
      </c>
      <c r="E100">
        <v>4618.2105263157891</v>
      </c>
      <c r="F100">
        <v>18472.84210526316</v>
      </c>
    </row>
    <row r="101" spans="1:6" x14ac:dyDescent="0.35">
      <c r="A101" t="s">
        <v>1043</v>
      </c>
      <c r="B101" t="s">
        <v>1044</v>
      </c>
      <c r="C101">
        <v>10</v>
      </c>
      <c r="D101" t="s">
        <v>2</v>
      </c>
      <c r="E101">
        <v>1808.9</v>
      </c>
      <c r="F101">
        <v>18089</v>
      </c>
    </row>
    <row r="102" spans="1:6" x14ac:dyDescent="0.35">
      <c r="A102" t="s">
        <v>1045</v>
      </c>
      <c r="B102" t="s">
        <v>1046</v>
      </c>
      <c r="C102">
        <v>13</v>
      </c>
      <c r="D102" t="s">
        <v>2</v>
      </c>
      <c r="E102">
        <v>1353.153846153846</v>
      </c>
      <c r="F102">
        <v>17591</v>
      </c>
    </row>
    <row r="103" spans="1:6" x14ac:dyDescent="0.35">
      <c r="A103" t="s">
        <v>1047</v>
      </c>
      <c r="B103" t="s">
        <v>1048</v>
      </c>
      <c r="C103">
        <v>9</v>
      </c>
      <c r="D103" t="s">
        <v>2</v>
      </c>
      <c r="E103">
        <v>1808.8888888888889</v>
      </c>
      <c r="F103">
        <v>16280</v>
      </c>
    </row>
    <row r="104" spans="1:6" x14ac:dyDescent="0.35">
      <c r="A104" t="s">
        <v>1049</v>
      </c>
      <c r="B104" t="s">
        <v>1050</v>
      </c>
      <c r="C104">
        <v>1</v>
      </c>
      <c r="D104" t="s">
        <v>864</v>
      </c>
      <c r="E104">
        <v>15917</v>
      </c>
      <c r="F104">
        <v>15917</v>
      </c>
    </row>
    <row r="105" spans="1:6" x14ac:dyDescent="0.35">
      <c r="A105" t="s">
        <v>1051</v>
      </c>
      <c r="B105" t="s">
        <v>1052</v>
      </c>
      <c r="C105">
        <v>1</v>
      </c>
      <c r="D105" t="s">
        <v>2</v>
      </c>
      <c r="E105">
        <v>14741.8</v>
      </c>
      <c r="F105">
        <v>14741.8</v>
      </c>
    </row>
    <row r="106" spans="1:6" x14ac:dyDescent="0.35">
      <c r="A106" t="s">
        <v>1053</v>
      </c>
      <c r="B106" t="s">
        <v>1054</v>
      </c>
      <c r="C106">
        <v>2</v>
      </c>
      <c r="D106" t="s">
        <v>871</v>
      </c>
      <c r="E106">
        <v>6692.333333333333</v>
      </c>
      <c r="F106">
        <v>13384.66666666667</v>
      </c>
    </row>
    <row r="107" spans="1:6" x14ac:dyDescent="0.35">
      <c r="A107" t="s">
        <v>1055</v>
      </c>
      <c r="B107" t="s">
        <v>863</v>
      </c>
      <c r="C107">
        <v>2</v>
      </c>
      <c r="D107" t="s">
        <v>864</v>
      </c>
      <c r="E107">
        <v>6683.6184210526317</v>
      </c>
      <c r="F107">
        <v>13367.23684210526</v>
      </c>
    </row>
    <row r="108" spans="1:6" x14ac:dyDescent="0.35">
      <c r="A108" t="s">
        <v>1056</v>
      </c>
      <c r="B108" t="s">
        <v>1057</v>
      </c>
      <c r="C108">
        <v>1</v>
      </c>
      <c r="D108" t="s">
        <v>2</v>
      </c>
      <c r="E108">
        <v>13186.8</v>
      </c>
      <c r="F108">
        <v>13186.8</v>
      </c>
    </row>
    <row r="109" spans="1:6" x14ac:dyDescent="0.35">
      <c r="A109" t="s">
        <v>1058</v>
      </c>
      <c r="B109" t="s">
        <v>1059</v>
      </c>
      <c r="C109">
        <v>1</v>
      </c>
      <c r="D109" t="s">
        <v>871</v>
      </c>
      <c r="E109">
        <v>11816</v>
      </c>
      <c r="F109">
        <v>11816</v>
      </c>
    </row>
    <row r="110" spans="1:6" x14ac:dyDescent="0.35">
      <c r="A110" t="s">
        <v>1060</v>
      </c>
      <c r="B110" t="s">
        <v>1061</v>
      </c>
      <c r="C110">
        <v>20</v>
      </c>
      <c r="D110" t="s">
        <v>2</v>
      </c>
      <c r="E110">
        <v>520.29999999999995</v>
      </c>
      <c r="F110">
        <v>10406</v>
      </c>
    </row>
    <row r="111" spans="1:6" x14ac:dyDescent="0.35">
      <c r="A111" t="s">
        <v>1062</v>
      </c>
      <c r="B111" t="s">
        <v>1063</v>
      </c>
      <c r="C111">
        <v>1</v>
      </c>
      <c r="D111" t="s">
        <v>871</v>
      </c>
      <c r="E111">
        <v>10393</v>
      </c>
      <c r="F111">
        <v>10393</v>
      </c>
    </row>
    <row r="112" spans="1:6" x14ac:dyDescent="0.35">
      <c r="A112" t="s">
        <v>878</v>
      </c>
      <c r="B112" t="s">
        <v>879</v>
      </c>
      <c r="C112">
        <v>1</v>
      </c>
      <c r="D112" t="s">
        <v>871</v>
      </c>
      <c r="E112">
        <v>9913.6875</v>
      </c>
      <c r="F112">
        <v>9913.6875</v>
      </c>
    </row>
    <row r="113" spans="1:6" x14ac:dyDescent="0.35">
      <c r="A113" t="s">
        <v>1064</v>
      </c>
      <c r="B113" t="s">
        <v>1065</v>
      </c>
      <c r="C113">
        <v>1</v>
      </c>
      <c r="D113" t="s">
        <v>871</v>
      </c>
      <c r="E113">
        <v>9240</v>
      </c>
      <c r="F113">
        <v>9240</v>
      </c>
    </row>
    <row r="114" spans="1:6" x14ac:dyDescent="0.35">
      <c r="A114" t="s">
        <v>1066</v>
      </c>
      <c r="B114" t="s">
        <v>1067</v>
      </c>
      <c r="C114">
        <v>6</v>
      </c>
      <c r="D114" t="s">
        <v>2</v>
      </c>
      <c r="E114">
        <v>1491.1</v>
      </c>
      <c r="F114">
        <v>8946.5999999999985</v>
      </c>
    </row>
    <row r="115" spans="1:6" x14ac:dyDescent="0.35">
      <c r="A115" t="s">
        <v>1068</v>
      </c>
      <c r="B115" t="s">
        <v>1069</v>
      </c>
      <c r="C115">
        <v>1</v>
      </c>
      <c r="D115" t="s">
        <v>871</v>
      </c>
      <c r="E115">
        <v>8928</v>
      </c>
      <c r="F115">
        <v>8928</v>
      </c>
    </row>
    <row r="116" spans="1:6" x14ac:dyDescent="0.35">
      <c r="A116" t="s">
        <v>1070</v>
      </c>
      <c r="B116" t="s">
        <v>364</v>
      </c>
      <c r="C116">
        <v>8</v>
      </c>
      <c r="D116" t="s">
        <v>2</v>
      </c>
      <c r="E116">
        <v>1041.205882352941</v>
      </c>
      <c r="F116">
        <v>8329.6470588235297</v>
      </c>
    </row>
    <row r="117" spans="1:6" x14ac:dyDescent="0.35">
      <c r="A117" t="s">
        <v>1071</v>
      </c>
      <c r="B117" t="s">
        <v>1072</v>
      </c>
      <c r="C117">
        <v>50</v>
      </c>
      <c r="D117" t="s">
        <v>2</v>
      </c>
      <c r="E117">
        <v>165.06</v>
      </c>
      <c r="F117">
        <v>8253</v>
      </c>
    </row>
    <row r="118" spans="1:6" x14ac:dyDescent="0.35">
      <c r="A118" t="s">
        <v>1073</v>
      </c>
      <c r="B118" t="s">
        <v>1074</v>
      </c>
      <c r="C118">
        <v>15</v>
      </c>
      <c r="D118" t="s">
        <v>2</v>
      </c>
      <c r="E118">
        <v>518.5333333333333</v>
      </c>
      <c r="F118">
        <v>7778</v>
      </c>
    </row>
    <row r="119" spans="1:6" x14ac:dyDescent="0.35">
      <c r="A119" t="s">
        <v>1075</v>
      </c>
      <c r="B119" t="s">
        <v>1054</v>
      </c>
      <c r="C119">
        <v>1</v>
      </c>
      <c r="D119" t="s">
        <v>871</v>
      </c>
      <c r="E119">
        <v>6692.333333333333</v>
      </c>
      <c r="F119">
        <v>6692.333333333333</v>
      </c>
    </row>
    <row r="120" spans="1:6" x14ac:dyDescent="0.35">
      <c r="A120" t="s">
        <v>1076</v>
      </c>
      <c r="B120" t="s">
        <v>863</v>
      </c>
      <c r="C120">
        <v>1</v>
      </c>
      <c r="D120" t="s">
        <v>864</v>
      </c>
      <c r="E120">
        <v>6683.6184210526317</v>
      </c>
      <c r="F120">
        <v>6683.6184210526317</v>
      </c>
    </row>
    <row r="121" spans="1:6" x14ac:dyDescent="0.35">
      <c r="A121" t="s">
        <v>1077</v>
      </c>
      <c r="B121" t="s">
        <v>1078</v>
      </c>
      <c r="C121">
        <v>50</v>
      </c>
      <c r="D121" t="s">
        <v>2</v>
      </c>
      <c r="E121">
        <v>131.08000000000001</v>
      </c>
      <c r="F121">
        <v>6554.0000000000009</v>
      </c>
    </row>
    <row r="122" spans="1:6" x14ac:dyDescent="0.35">
      <c r="A122" t="s">
        <v>1079</v>
      </c>
      <c r="B122" t="s">
        <v>1080</v>
      </c>
      <c r="C122">
        <v>1</v>
      </c>
      <c r="D122" t="s">
        <v>871</v>
      </c>
      <c r="E122">
        <v>6164</v>
      </c>
      <c r="F122">
        <v>6164</v>
      </c>
    </row>
    <row r="123" spans="1:6" x14ac:dyDescent="0.35">
      <c r="A123" t="s">
        <v>1081</v>
      </c>
      <c r="B123" t="s">
        <v>1067</v>
      </c>
      <c r="C123">
        <v>4</v>
      </c>
      <c r="D123" t="s">
        <v>2</v>
      </c>
      <c r="E123">
        <v>1491.1</v>
      </c>
      <c r="F123">
        <v>5964.4</v>
      </c>
    </row>
    <row r="124" spans="1:6" x14ac:dyDescent="0.35">
      <c r="A124" t="s">
        <v>1082</v>
      </c>
      <c r="B124" t="s">
        <v>707</v>
      </c>
      <c r="C124">
        <v>7</v>
      </c>
      <c r="D124" t="s">
        <v>2</v>
      </c>
      <c r="E124">
        <v>806.65277777777783</v>
      </c>
      <c r="F124">
        <v>5646.5694444444453</v>
      </c>
    </row>
    <row r="125" spans="1:6" x14ac:dyDescent="0.35">
      <c r="A125" t="s">
        <v>1083</v>
      </c>
      <c r="B125" t="s">
        <v>1027</v>
      </c>
      <c r="C125">
        <v>3</v>
      </c>
      <c r="D125" t="s">
        <v>2</v>
      </c>
      <c r="E125">
        <v>1715.478260869565</v>
      </c>
      <c r="F125">
        <v>5146.434782608696</v>
      </c>
    </row>
    <row r="126" spans="1:6" x14ac:dyDescent="0.35">
      <c r="A126" t="s">
        <v>1084</v>
      </c>
      <c r="B126" t="s">
        <v>1085</v>
      </c>
      <c r="C126">
        <v>2</v>
      </c>
      <c r="D126" t="s">
        <v>871</v>
      </c>
      <c r="E126">
        <v>2257.6</v>
      </c>
      <c r="F126">
        <v>4515.2</v>
      </c>
    </row>
    <row r="127" spans="1:6" x14ac:dyDescent="0.35">
      <c r="A127" t="s">
        <v>1086</v>
      </c>
      <c r="B127" t="s">
        <v>1087</v>
      </c>
      <c r="C127">
        <v>1</v>
      </c>
      <c r="D127" t="s">
        <v>871</v>
      </c>
      <c r="E127">
        <v>4456</v>
      </c>
      <c r="F127">
        <v>4456</v>
      </c>
    </row>
    <row r="128" spans="1:6" x14ac:dyDescent="0.35">
      <c r="A128" t="s">
        <v>1088</v>
      </c>
      <c r="B128" t="s">
        <v>1089</v>
      </c>
      <c r="C128">
        <v>4</v>
      </c>
      <c r="D128" t="s">
        <v>871</v>
      </c>
      <c r="E128">
        <v>832.5</v>
      </c>
      <c r="F128">
        <v>3330</v>
      </c>
    </row>
    <row r="129" spans="1:6" x14ac:dyDescent="0.35">
      <c r="A129" t="s">
        <v>1090</v>
      </c>
      <c r="B129" t="s">
        <v>1091</v>
      </c>
      <c r="C129">
        <v>1</v>
      </c>
      <c r="D129" t="s">
        <v>864</v>
      </c>
      <c r="E129">
        <v>3267.4</v>
      </c>
      <c r="F129">
        <v>3267.4</v>
      </c>
    </row>
    <row r="130" spans="1:6" x14ac:dyDescent="0.35">
      <c r="A130" t="s">
        <v>1092</v>
      </c>
      <c r="B130" t="s">
        <v>870</v>
      </c>
      <c r="C130">
        <v>1</v>
      </c>
      <c r="D130" t="s">
        <v>871</v>
      </c>
      <c r="E130">
        <v>2970.3571428571431</v>
      </c>
      <c r="F130">
        <v>2970.3571428571431</v>
      </c>
    </row>
    <row r="131" spans="1:6" x14ac:dyDescent="0.35">
      <c r="A131" t="s">
        <v>1093</v>
      </c>
      <c r="B131" t="s">
        <v>1094</v>
      </c>
      <c r="C131">
        <v>4</v>
      </c>
      <c r="D131" t="s">
        <v>2</v>
      </c>
      <c r="E131">
        <v>617.5</v>
      </c>
      <c r="F131">
        <v>2470</v>
      </c>
    </row>
    <row r="132" spans="1:6" x14ac:dyDescent="0.35">
      <c r="A132" t="s">
        <v>1095</v>
      </c>
      <c r="B132" t="s">
        <v>1096</v>
      </c>
      <c r="C132">
        <v>50</v>
      </c>
      <c r="D132" t="s">
        <v>2</v>
      </c>
      <c r="E132">
        <v>45.78</v>
      </c>
      <c r="F132">
        <v>2289</v>
      </c>
    </row>
    <row r="133" spans="1:6" x14ac:dyDescent="0.35">
      <c r="A133" t="s">
        <v>1097</v>
      </c>
      <c r="B133" t="s">
        <v>1098</v>
      </c>
      <c r="C133">
        <v>4</v>
      </c>
      <c r="D133" t="s">
        <v>2</v>
      </c>
      <c r="E133">
        <v>458</v>
      </c>
      <c r="F133">
        <v>1832</v>
      </c>
    </row>
    <row r="134" spans="1:6" x14ac:dyDescent="0.35">
      <c r="A134" t="s">
        <v>1099</v>
      </c>
      <c r="B134" t="s">
        <v>1100</v>
      </c>
      <c r="C134">
        <v>1</v>
      </c>
      <c r="D134" t="s">
        <v>871</v>
      </c>
      <c r="E134">
        <v>1782.166666666667</v>
      </c>
      <c r="F134">
        <v>1782.166666666667</v>
      </c>
    </row>
    <row r="135" spans="1:6" x14ac:dyDescent="0.35">
      <c r="A135" t="s">
        <v>1101</v>
      </c>
      <c r="B135" t="s">
        <v>1100</v>
      </c>
      <c r="C135">
        <v>1</v>
      </c>
      <c r="D135" t="s">
        <v>871</v>
      </c>
      <c r="E135">
        <v>1782.166666666667</v>
      </c>
      <c r="F135">
        <v>1782.166666666667</v>
      </c>
    </row>
    <row r="136" spans="1:6" x14ac:dyDescent="0.35">
      <c r="A136" t="s">
        <v>1102</v>
      </c>
      <c r="B136" t="s">
        <v>1103</v>
      </c>
      <c r="C136">
        <v>1</v>
      </c>
      <c r="D136" t="s">
        <v>871</v>
      </c>
      <c r="E136">
        <v>1756</v>
      </c>
      <c r="F136">
        <v>1756</v>
      </c>
    </row>
    <row r="137" spans="1:6" x14ac:dyDescent="0.35">
      <c r="A137" t="s">
        <v>1104</v>
      </c>
      <c r="B137" t="s">
        <v>1105</v>
      </c>
      <c r="C137">
        <v>1</v>
      </c>
      <c r="D137" t="s">
        <v>2</v>
      </c>
      <c r="E137">
        <v>1215</v>
      </c>
      <c r="F137">
        <v>1215</v>
      </c>
    </row>
    <row r="138" spans="1:6" x14ac:dyDescent="0.35">
      <c r="A138" t="s">
        <v>1106</v>
      </c>
      <c r="B138" t="s">
        <v>1107</v>
      </c>
      <c r="C138">
        <v>1</v>
      </c>
      <c r="D138" t="s">
        <v>871</v>
      </c>
      <c r="E138">
        <v>1129</v>
      </c>
      <c r="F138">
        <v>1129</v>
      </c>
    </row>
    <row r="139" spans="1:6" x14ac:dyDescent="0.35">
      <c r="A139" t="s">
        <v>1108</v>
      </c>
      <c r="B139" t="s">
        <v>1109</v>
      </c>
      <c r="C139">
        <v>2</v>
      </c>
      <c r="D139" t="s">
        <v>2</v>
      </c>
      <c r="E139">
        <v>439</v>
      </c>
      <c r="F139">
        <v>878</v>
      </c>
    </row>
    <row r="140" spans="1:6" x14ac:dyDescent="0.35">
      <c r="A140" t="s">
        <v>1110</v>
      </c>
      <c r="B140" t="s">
        <v>1111</v>
      </c>
      <c r="C140">
        <v>1</v>
      </c>
      <c r="D140" t="s">
        <v>871</v>
      </c>
      <c r="E140">
        <v>713</v>
      </c>
      <c r="F140">
        <v>713</v>
      </c>
    </row>
    <row r="141" spans="1:6" x14ac:dyDescent="0.35">
      <c r="A141" t="s">
        <v>1112</v>
      </c>
      <c r="B141" t="s">
        <v>1113</v>
      </c>
      <c r="C141">
        <v>1</v>
      </c>
      <c r="D141" t="s">
        <v>871</v>
      </c>
      <c r="E141">
        <v>297</v>
      </c>
      <c r="F141">
        <v>297</v>
      </c>
    </row>
    <row r="142" spans="1:6" x14ac:dyDescent="0.35">
      <c r="A142" t="s">
        <v>1114</v>
      </c>
      <c r="B142" t="s">
        <v>1115</v>
      </c>
      <c r="C142">
        <v>2</v>
      </c>
      <c r="F142">
        <v>0</v>
      </c>
    </row>
    <row r="143" spans="1:6" x14ac:dyDescent="0.35">
      <c r="A143" t="s">
        <v>1116</v>
      </c>
      <c r="B143" t="s">
        <v>1117</v>
      </c>
      <c r="C143">
        <v>1</v>
      </c>
      <c r="F143">
        <v>0</v>
      </c>
    </row>
    <row r="144" spans="1:6" x14ac:dyDescent="0.35">
      <c r="A144" t="s">
        <v>1118</v>
      </c>
      <c r="B144" t="s">
        <v>1119</v>
      </c>
      <c r="C144">
        <v>1</v>
      </c>
      <c r="F144">
        <v>0</v>
      </c>
    </row>
    <row r="145" spans="1:6" x14ac:dyDescent="0.35">
      <c r="A145" t="s">
        <v>1120</v>
      </c>
      <c r="B145" t="s">
        <v>1121</v>
      </c>
      <c r="C145">
        <v>1</v>
      </c>
      <c r="F145">
        <v>0</v>
      </c>
    </row>
    <row r="146" spans="1:6" x14ac:dyDescent="0.35">
      <c r="A146" t="s">
        <v>1122</v>
      </c>
      <c r="B146" t="s">
        <v>1123</v>
      </c>
      <c r="C146">
        <v>1</v>
      </c>
      <c r="F146">
        <v>0</v>
      </c>
    </row>
    <row r="147" spans="1:6" x14ac:dyDescent="0.35">
      <c r="A147" t="s">
        <v>1124</v>
      </c>
      <c r="B147" t="s">
        <v>1125</v>
      </c>
      <c r="C147">
        <v>1</v>
      </c>
      <c r="F147">
        <v>0</v>
      </c>
    </row>
    <row r="148" spans="1:6" x14ac:dyDescent="0.35">
      <c r="A148" t="s">
        <v>1126</v>
      </c>
      <c r="B148" t="s">
        <v>1117</v>
      </c>
      <c r="C148">
        <v>1</v>
      </c>
      <c r="F148">
        <v>0</v>
      </c>
    </row>
    <row r="149" spans="1:6" x14ac:dyDescent="0.35">
      <c r="A149" t="s">
        <v>1127</v>
      </c>
      <c r="B149" t="s">
        <v>1128</v>
      </c>
      <c r="C149">
        <v>17</v>
      </c>
      <c r="F149">
        <v>0</v>
      </c>
    </row>
    <row r="150" spans="1:6" x14ac:dyDescent="0.35">
      <c r="A150" t="s">
        <v>1129</v>
      </c>
      <c r="B150" t="s">
        <v>1130</v>
      </c>
      <c r="C150">
        <v>1</v>
      </c>
      <c r="F150">
        <v>0</v>
      </c>
    </row>
    <row r="151" spans="1:6" x14ac:dyDescent="0.35">
      <c r="A151" t="s">
        <v>1131</v>
      </c>
      <c r="B151" t="s">
        <v>1132</v>
      </c>
      <c r="C151">
        <v>1</v>
      </c>
      <c r="F151">
        <v>0</v>
      </c>
    </row>
    <row r="152" spans="1:6" x14ac:dyDescent="0.35">
      <c r="A152" t="s">
        <v>1133</v>
      </c>
      <c r="B152" t="s">
        <v>1134</v>
      </c>
      <c r="C152">
        <v>1</v>
      </c>
      <c r="F152">
        <v>0</v>
      </c>
    </row>
    <row r="153" spans="1:6" x14ac:dyDescent="0.35">
      <c r="A153" t="s">
        <v>1135</v>
      </c>
      <c r="B153" t="s">
        <v>1136</v>
      </c>
      <c r="C153">
        <v>1</v>
      </c>
      <c r="F153">
        <v>0</v>
      </c>
    </row>
    <row r="154" spans="1:6" x14ac:dyDescent="0.35">
      <c r="A154" t="s">
        <v>1137</v>
      </c>
      <c r="B154" t="s">
        <v>1138</v>
      </c>
      <c r="C154">
        <v>1</v>
      </c>
      <c r="F154">
        <v>0</v>
      </c>
    </row>
    <row r="155" spans="1:6" x14ac:dyDescent="0.35">
      <c r="A155" t="s">
        <v>1139</v>
      </c>
      <c r="B155" t="s">
        <v>1140</v>
      </c>
      <c r="C155">
        <v>1</v>
      </c>
      <c r="F155">
        <v>0</v>
      </c>
    </row>
    <row r="156" spans="1:6" x14ac:dyDescent="0.35">
      <c r="A156" t="s">
        <v>1141</v>
      </c>
      <c r="B156" t="s">
        <v>1117</v>
      </c>
      <c r="C156">
        <v>1</v>
      </c>
      <c r="F156">
        <v>0</v>
      </c>
    </row>
    <row r="157" spans="1:6" x14ac:dyDescent="0.35">
      <c r="A157" t="s">
        <v>1116</v>
      </c>
      <c r="B157" t="s">
        <v>1117</v>
      </c>
      <c r="C157">
        <v>1</v>
      </c>
      <c r="F157">
        <v>0</v>
      </c>
    </row>
    <row r="158" spans="1:6" x14ac:dyDescent="0.35">
      <c r="A158" t="s">
        <v>1142</v>
      </c>
      <c r="B158" t="s">
        <v>1143</v>
      </c>
      <c r="C158">
        <v>1</v>
      </c>
      <c r="F158">
        <v>0</v>
      </c>
    </row>
    <row r="159" spans="1:6" x14ac:dyDescent="0.35">
      <c r="A159" t="s">
        <v>1144</v>
      </c>
      <c r="B159" t="s">
        <v>1145</v>
      </c>
      <c r="C159">
        <v>1</v>
      </c>
      <c r="F159">
        <v>0</v>
      </c>
    </row>
    <row r="160" spans="1:6" x14ac:dyDescent="0.35">
      <c r="A160" t="s">
        <v>1146</v>
      </c>
      <c r="B160" t="s">
        <v>1147</v>
      </c>
      <c r="C160">
        <v>10</v>
      </c>
      <c r="F160">
        <v>0</v>
      </c>
    </row>
    <row r="161" spans="1:6" x14ac:dyDescent="0.35">
      <c r="A161" t="s">
        <v>1148</v>
      </c>
      <c r="B161" t="s">
        <v>1149</v>
      </c>
      <c r="C161">
        <v>5</v>
      </c>
      <c r="F161">
        <v>0</v>
      </c>
    </row>
    <row r="162" spans="1:6" x14ac:dyDescent="0.35">
      <c r="A162" t="s">
        <v>1150</v>
      </c>
      <c r="B162" t="s">
        <v>1151</v>
      </c>
      <c r="C162">
        <v>1</v>
      </c>
      <c r="F162">
        <v>0</v>
      </c>
    </row>
    <row r="163" spans="1:6" x14ac:dyDescent="0.35">
      <c r="A163" t="s">
        <v>1150</v>
      </c>
      <c r="B163" t="s">
        <v>1151</v>
      </c>
      <c r="C163">
        <v>1</v>
      </c>
      <c r="F163">
        <v>0</v>
      </c>
    </row>
    <row r="164" spans="1:6" x14ac:dyDescent="0.35">
      <c r="A164" t="s">
        <v>1150</v>
      </c>
      <c r="B164" t="s">
        <v>1151</v>
      </c>
      <c r="C164">
        <v>1</v>
      </c>
      <c r="F164">
        <v>0</v>
      </c>
    </row>
    <row r="165" spans="1:6" x14ac:dyDescent="0.35">
      <c r="A165" t="s">
        <v>1150</v>
      </c>
      <c r="B165" t="s">
        <v>1151</v>
      </c>
      <c r="C165">
        <v>1</v>
      </c>
      <c r="F165">
        <v>0</v>
      </c>
    </row>
    <row r="166" spans="1:6" x14ac:dyDescent="0.35">
      <c r="A166" t="s">
        <v>1152</v>
      </c>
      <c r="B166" t="s">
        <v>1153</v>
      </c>
      <c r="C166">
        <v>6</v>
      </c>
      <c r="F166">
        <v>0</v>
      </c>
    </row>
    <row r="167" spans="1:6" x14ac:dyDescent="0.35">
      <c r="A167" t="s">
        <v>1150</v>
      </c>
      <c r="B167" t="s">
        <v>1151</v>
      </c>
      <c r="C167">
        <v>1</v>
      </c>
      <c r="F167">
        <v>0</v>
      </c>
    </row>
    <row r="168" spans="1:6" x14ac:dyDescent="0.35">
      <c r="A168" t="s">
        <v>1150</v>
      </c>
      <c r="B168" t="s">
        <v>1151</v>
      </c>
      <c r="C168">
        <v>1</v>
      </c>
      <c r="F16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9A8-5BC2-4A27-AFD3-BF56C20DACAE}">
  <dimension ref="A1:F266"/>
  <sheetViews>
    <sheetView topLeftCell="A252" workbookViewId="0">
      <selection activeCell="A2" sqref="A2:F266"/>
    </sheetView>
  </sheetViews>
  <sheetFormatPr defaultRowHeight="14.5" x14ac:dyDescent="0.35"/>
  <cols>
    <col min="1" max="1" width="48.90625" customWidth="1"/>
  </cols>
  <sheetData>
    <row r="1" spans="1:6" x14ac:dyDescent="0.35">
      <c r="A1" s="1" t="s">
        <v>743</v>
      </c>
      <c r="B1" s="1" t="s">
        <v>744</v>
      </c>
      <c r="C1" s="1" t="s">
        <v>745</v>
      </c>
      <c r="D1" s="1" t="s">
        <v>746</v>
      </c>
      <c r="E1" s="1" t="s">
        <v>747</v>
      </c>
      <c r="F1" s="1" t="s">
        <v>748</v>
      </c>
    </row>
    <row r="2" spans="1:6" x14ac:dyDescent="0.35">
      <c r="A2" t="s">
        <v>1154</v>
      </c>
      <c r="B2" t="s">
        <v>1155</v>
      </c>
      <c r="C2">
        <v>290</v>
      </c>
      <c r="D2" t="s">
        <v>2</v>
      </c>
      <c r="E2">
        <v>97560.261290322582</v>
      </c>
      <c r="F2">
        <v>28292475.774193551</v>
      </c>
    </row>
    <row r="3" spans="1:6" x14ac:dyDescent="0.35">
      <c r="A3" t="s">
        <v>1156</v>
      </c>
      <c r="B3" t="s">
        <v>1157</v>
      </c>
      <c r="C3">
        <v>200</v>
      </c>
      <c r="D3" t="s">
        <v>2</v>
      </c>
      <c r="E3">
        <v>49970.553124999999</v>
      </c>
      <c r="F3">
        <v>9994110.625</v>
      </c>
    </row>
    <row r="4" spans="1:6" x14ac:dyDescent="0.35">
      <c r="A4" t="s">
        <v>1158</v>
      </c>
      <c r="B4" t="s">
        <v>900</v>
      </c>
      <c r="C4">
        <v>1139</v>
      </c>
      <c r="D4" t="s">
        <v>5</v>
      </c>
      <c r="E4">
        <v>6535.7600055393987</v>
      </c>
      <c r="F4">
        <v>7444230.6463093748</v>
      </c>
    </row>
    <row r="5" spans="1:6" x14ac:dyDescent="0.35">
      <c r="A5" t="s">
        <v>761</v>
      </c>
      <c r="B5" t="s">
        <v>762</v>
      </c>
      <c r="C5">
        <v>1</v>
      </c>
      <c r="D5" t="s">
        <v>5</v>
      </c>
      <c r="E5">
        <v>3886297</v>
      </c>
      <c r="F5">
        <v>3886297</v>
      </c>
    </row>
    <row r="6" spans="1:6" x14ac:dyDescent="0.35">
      <c r="A6" t="s">
        <v>763</v>
      </c>
      <c r="B6" t="s">
        <v>764</v>
      </c>
      <c r="C6">
        <v>1</v>
      </c>
      <c r="D6" t="s">
        <v>5</v>
      </c>
      <c r="E6">
        <v>3886297</v>
      </c>
      <c r="F6">
        <v>3886297</v>
      </c>
    </row>
    <row r="7" spans="1:6" x14ac:dyDescent="0.35">
      <c r="A7" t="s">
        <v>1159</v>
      </c>
      <c r="B7" t="s">
        <v>1160</v>
      </c>
      <c r="C7">
        <v>48</v>
      </c>
      <c r="D7" t="s">
        <v>5</v>
      </c>
      <c r="E7">
        <v>55352</v>
      </c>
      <c r="F7">
        <v>2656896</v>
      </c>
    </row>
    <row r="8" spans="1:6" x14ac:dyDescent="0.35">
      <c r="A8" t="s">
        <v>1161</v>
      </c>
      <c r="B8" t="s">
        <v>1162</v>
      </c>
      <c r="C8">
        <v>20</v>
      </c>
      <c r="D8" t="s">
        <v>2</v>
      </c>
      <c r="E8">
        <v>120997.85</v>
      </c>
      <c r="F8">
        <v>2419957</v>
      </c>
    </row>
    <row r="9" spans="1:6" x14ac:dyDescent="0.35">
      <c r="A9" t="s">
        <v>1163</v>
      </c>
      <c r="B9" t="s">
        <v>1164</v>
      </c>
      <c r="C9">
        <v>53</v>
      </c>
      <c r="D9" t="s">
        <v>2</v>
      </c>
      <c r="E9">
        <v>45412.67924528302</v>
      </c>
      <c r="F9">
        <v>2406872</v>
      </c>
    </row>
    <row r="10" spans="1:6" x14ac:dyDescent="0.35">
      <c r="A10" t="s">
        <v>1165</v>
      </c>
      <c r="B10" t="s">
        <v>1166</v>
      </c>
      <c r="C10">
        <v>86</v>
      </c>
      <c r="D10" t="s">
        <v>2</v>
      </c>
      <c r="E10">
        <v>25664.6</v>
      </c>
      <c r="F10">
        <v>2207155.6</v>
      </c>
    </row>
    <row r="11" spans="1:6" x14ac:dyDescent="0.35">
      <c r="A11" t="s">
        <v>1167</v>
      </c>
      <c r="B11" t="s">
        <v>1168</v>
      </c>
      <c r="C11">
        <v>18</v>
      </c>
      <c r="D11" t="s">
        <v>2</v>
      </c>
      <c r="E11">
        <v>115744.6086956522</v>
      </c>
      <c r="F11">
        <v>2083402.956521739</v>
      </c>
    </row>
    <row r="12" spans="1:6" x14ac:dyDescent="0.35">
      <c r="A12" t="s">
        <v>1169</v>
      </c>
      <c r="B12" t="s">
        <v>1170</v>
      </c>
      <c r="C12">
        <v>118</v>
      </c>
      <c r="D12" t="s">
        <v>2</v>
      </c>
      <c r="E12">
        <v>14984.09523809524</v>
      </c>
      <c r="F12">
        <v>1768123.2380952381</v>
      </c>
    </row>
    <row r="13" spans="1:6" x14ac:dyDescent="0.35">
      <c r="A13" t="s">
        <v>1171</v>
      </c>
      <c r="B13" t="s">
        <v>415</v>
      </c>
      <c r="C13">
        <v>28</v>
      </c>
      <c r="D13" t="s">
        <v>5</v>
      </c>
      <c r="E13">
        <v>46288.364705882363</v>
      </c>
      <c r="F13">
        <v>1296074.2117647061</v>
      </c>
    </row>
    <row r="14" spans="1:6" x14ac:dyDescent="0.35">
      <c r="A14" t="s">
        <v>1172</v>
      </c>
      <c r="B14" t="s">
        <v>1173</v>
      </c>
      <c r="C14">
        <v>30</v>
      </c>
      <c r="D14" t="s">
        <v>2</v>
      </c>
      <c r="E14">
        <v>40670.199999999997</v>
      </c>
      <c r="F14">
        <v>1220106</v>
      </c>
    </row>
    <row r="15" spans="1:6" x14ac:dyDescent="0.35">
      <c r="A15" t="s">
        <v>1174</v>
      </c>
      <c r="B15" t="s">
        <v>1175</v>
      </c>
      <c r="C15">
        <v>22</v>
      </c>
      <c r="D15" t="s">
        <v>5</v>
      </c>
      <c r="E15">
        <v>48149</v>
      </c>
      <c r="F15">
        <v>1059278</v>
      </c>
    </row>
    <row r="16" spans="1:6" x14ac:dyDescent="0.35">
      <c r="A16" t="s">
        <v>1176</v>
      </c>
      <c r="B16" t="s">
        <v>1177</v>
      </c>
      <c r="C16">
        <v>43</v>
      </c>
      <c r="D16" t="s">
        <v>5</v>
      </c>
      <c r="E16">
        <v>21939.272727272732</v>
      </c>
      <c r="F16">
        <v>943388.72727272729</v>
      </c>
    </row>
    <row r="17" spans="1:6" x14ac:dyDescent="0.35">
      <c r="A17" t="s">
        <v>1178</v>
      </c>
      <c r="B17" t="s">
        <v>1179</v>
      </c>
      <c r="C17">
        <v>9</v>
      </c>
      <c r="D17" t="s">
        <v>2</v>
      </c>
      <c r="E17">
        <v>100189.55555555561</v>
      </c>
      <c r="F17">
        <v>901706</v>
      </c>
    </row>
    <row r="18" spans="1:6" x14ac:dyDescent="0.35">
      <c r="A18" t="s">
        <v>1180</v>
      </c>
      <c r="B18" t="s">
        <v>1181</v>
      </c>
      <c r="C18">
        <v>4</v>
      </c>
      <c r="D18" t="s">
        <v>5</v>
      </c>
      <c r="E18">
        <v>206421.5</v>
      </c>
      <c r="F18">
        <v>825686</v>
      </c>
    </row>
    <row r="19" spans="1:6" x14ac:dyDescent="0.35">
      <c r="A19" t="s">
        <v>1182</v>
      </c>
      <c r="B19" t="s">
        <v>1175</v>
      </c>
      <c r="C19">
        <v>17</v>
      </c>
      <c r="D19" t="s">
        <v>5</v>
      </c>
      <c r="E19">
        <v>48149</v>
      </c>
      <c r="F19">
        <v>818533</v>
      </c>
    </row>
    <row r="20" spans="1:6" x14ac:dyDescent="0.35">
      <c r="A20" t="s">
        <v>1183</v>
      </c>
      <c r="B20" t="s">
        <v>1184</v>
      </c>
      <c r="C20">
        <v>45</v>
      </c>
      <c r="D20" t="s">
        <v>5</v>
      </c>
      <c r="E20">
        <v>17168.641025641031</v>
      </c>
      <c r="F20">
        <v>772588.84615384624</v>
      </c>
    </row>
    <row r="21" spans="1:6" x14ac:dyDescent="0.35">
      <c r="A21" t="s">
        <v>1185</v>
      </c>
      <c r="B21" t="s">
        <v>1186</v>
      </c>
      <c r="C21">
        <v>7</v>
      </c>
      <c r="D21" t="s">
        <v>5</v>
      </c>
      <c r="E21">
        <v>105996.6</v>
      </c>
      <c r="F21">
        <v>741976.20000000007</v>
      </c>
    </row>
    <row r="22" spans="1:6" x14ac:dyDescent="0.35">
      <c r="A22" t="s">
        <v>1187</v>
      </c>
      <c r="B22" t="s">
        <v>1188</v>
      </c>
      <c r="C22">
        <v>2</v>
      </c>
      <c r="D22" t="s">
        <v>5</v>
      </c>
      <c r="E22">
        <v>330186.66666666669</v>
      </c>
      <c r="F22">
        <v>660373.33333333337</v>
      </c>
    </row>
    <row r="23" spans="1:6" x14ac:dyDescent="0.35">
      <c r="A23" t="s">
        <v>1189</v>
      </c>
      <c r="B23" t="s">
        <v>1190</v>
      </c>
      <c r="C23">
        <v>6</v>
      </c>
      <c r="D23" t="s">
        <v>2</v>
      </c>
      <c r="E23">
        <v>109988</v>
      </c>
      <c r="F23">
        <v>659928</v>
      </c>
    </row>
    <row r="24" spans="1:6" x14ac:dyDescent="0.35">
      <c r="A24" t="s">
        <v>1191</v>
      </c>
      <c r="B24" t="s">
        <v>1192</v>
      </c>
      <c r="C24">
        <v>15</v>
      </c>
      <c r="D24" t="s">
        <v>5</v>
      </c>
      <c r="E24">
        <v>43659.904761904763</v>
      </c>
      <c r="F24">
        <v>654898.57142857148</v>
      </c>
    </row>
    <row r="25" spans="1:6" x14ac:dyDescent="0.35">
      <c r="A25" t="s">
        <v>1193</v>
      </c>
      <c r="B25" t="s">
        <v>1194</v>
      </c>
      <c r="C25">
        <v>5</v>
      </c>
      <c r="D25" t="s">
        <v>2</v>
      </c>
      <c r="E25">
        <v>127600</v>
      </c>
      <c r="F25">
        <v>638000</v>
      </c>
    </row>
    <row r="26" spans="1:6" x14ac:dyDescent="0.35">
      <c r="A26" t="s">
        <v>1195</v>
      </c>
      <c r="B26" t="s">
        <v>1168</v>
      </c>
      <c r="C26">
        <v>5</v>
      </c>
      <c r="D26" t="s">
        <v>2</v>
      </c>
      <c r="E26">
        <v>115744.6086956522</v>
      </c>
      <c r="F26">
        <v>578723.04347826086</v>
      </c>
    </row>
    <row r="27" spans="1:6" x14ac:dyDescent="0.35">
      <c r="A27" t="s">
        <v>1196</v>
      </c>
      <c r="B27" t="s">
        <v>1184</v>
      </c>
      <c r="C27">
        <v>33</v>
      </c>
      <c r="D27" t="s">
        <v>5</v>
      </c>
      <c r="E27">
        <v>17168.641025641031</v>
      </c>
      <c r="F27">
        <v>566565.15384615387</v>
      </c>
    </row>
    <row r="28" spans="1:6" x14ac:dyDescent="0.35">
      <c r="A28" t="s">
        <v>1197</v>
      </c>
      <c r="B28" t="s">
        <v>1198</v>
      </c>
      <c r="C28">
        <v>175</v>
      </c>
      <c r="D28" t="s">
        <v>5</v>
      </c>
      <c r="E28">
        <v>3025.8171428571432</v>
      </c>
      <c r="F28">
        <v>529518</v>
      </c>
    </row>
    <row r="29" spans="1:6" x14ac:dyDescent="0.35">
      <c r="A29" t="s">
        <v>1199</v>
      </c>
      <c r="B29" t="s">
        <v>1200</v>
      </c>
      <c r="C29">
        <v>3</v>
      </c>
      <c r="D29" t="s">
        <v>2</v>
      </c>
      <c r="E29">
        <v>169951</v>
      </c>
      <c r="F29">
        <v>509853</v>
      </c>
    </row>
    <row r="30" spans="1:6" x14ac:dyDescent="0.35">
      <c r="A30" t="s">
        <v>1201</v>
      </c>
      <c r="B30" t="s">
        <v>391</v>
      </c>
      <c r="C30">
        <v>39</v>
      </c>
      <c r="D30" t="s">
        <v>5</v>
      </c>
      <c r="E30">
        <v>12745.041304347829</v>
      </c>
      <c r="F30">
        <v>497056.61086956522</v>
      </c>
    </row>
    <row r="31" spans="1:6" x14ac:dyDescent="0.35">
      <c r="A31" t="s">
        <v>1202</v>
      </c>
      <c r="B31" t="s">
        <v>1203</v>
      </c>
      <c r="C31">
        <v>7</v>
      </c>
      <c r="D31" t="s">
        <v>5</v>
      </c>
      <c r="E31">
        <v>70871.3</v>
      </c>
      <c r="F31">
        <v>496099.1</v>
      </c>
    </row>
    <row r="32" spans="1:6" x14ac:dyDescent="0.35">
      <c r="A32" t="s">
        <v>1204</v>
      </c>
      <c r="B32" t="s">
        <v>276</v>
      </c>
      <c r="C32">
        <v>600</v>
      </c>
      <c r="D32" t="s">
        <v>2</v>
      </c>
      <c r="E32">
        <v>792.68390039916369</v>
      </c>
      <c r="F32">
        <v>475610.34023949818</v>
      </c>
    </row>
    <row r="33" spans="1:6" x14ac:dyDescent="0.35">
      <c r="A33" t="s">
        <v>1205</v>
      </c>
      <c r="B33" t="s">
        <v>1206</v>
      </c>
      <c r="C33">
        <v>11</v>
      </c>
      <c r="D33" t="s">
        <v>5</v>
      </c>
      <c r="E33">
        <v>43206.6875</v>
      </c>
      <c r="F33">
        <v>475273.5625</v>
      </c>
    </row>
    <row r="34" spans="1:6" x14ac:dyDescent="0.35">
      <c r="A34" t="s">
        <v>1207</v>
      </c>
      <c r="B34" t="s">
        <v>1208</v>
      </c>
      <c r="C34">
        <v>35</v>
      </c>
      <c r="D34" t="s">
        <v>5</v>
      </c>
      <c r="E34">
        <v>12996.82857142857</v>
      </c>
      <c r="F34">
        <v>454889</v>
      </c>
    </row>
    <row r="35" spans="1:6" x14ac:dyDescent="0.35">
      <c r="A35" t="s">
        <v>1209</v>
      </c>
      <c r="B35" t="s">
        <v>1210</v>
      </c>
      <c r="C35">
        <v>1</v>
      </c>
      <c r="D35" t="s">
        <v>5</v>
      </c>
      <c r="E35">
        <v>448615</v>
      </c>
      <c r="F35">
        <v>448615</v>
      </c>
    </row>
    <row r="36" spans="1:6" x14ac:dyDescent="0.35">
      <c r="A36" t="s">
        <v>1211</v>
      </c>
      <c r="B36" t="s">
        <v>1212</v>
      </c>
      <c r="C36">
        <v>50</v>
      </c>
      <c r="D36" t="s">
        <v>5</v>
      </c>
      <c r="E36">
        <v>8575.8390804597693</v>
      </c>
      <c r="F36">
        <v>428791.95402298839</v>
      </c>
    </row>
    <row r="37" spans="1:6" x14ac:dyDescent="0.35">
      <c r="A37" t="s">
        <v>1213</v>
      </c>
      <c r="B37" t="s">
        <v>1214</v>
      </c>
      <c r="C37">
        <v>4</v>
      </c>
      <c r="D37" t="s">
        <v>2</v>
      </c>
      <c r="E37">
        <v>106598</v>
      </c>
      <c r="F37">
        <v>426392</v>
      </c>
    </row>
    <row r="38" spans="1:6" x14ac:dyDescent="0.35">
      <c r="A38" t="s">
        <v>1215</v>
      </c>
      <c r="B38" t="s">
        <v>1216</v>
      </c>
      <c r="C38">
        <v>240</v>
      </c>
      <c r="D38" t="s">
        <v>2</v>
      </c>
      <c r="E38">
        <v>1741.6344827586211</v>
      </c>
      <c r="F38">
        <v>417992.27586206893</v>
      </c>
    </row>
    <row r="39" spans="1:6" x14ac:dyDescent="0.35">
      <c r="A39" t="s">
        <v>1217</v>
      </c>
      <c r="B39" t="s">
        <v>1218</v>
      </c>
      <c r="C39">
        <v>6</v>
      </c>
      <c r="D39" t="s">
        <v>2</v>
      </c>
      <c r="E39">
        <v>66907.333333333328</v>
      </c>
      <c r="F39">
        <v>401444</v>
      </c>
    </row>
    <row r="40" spans="1:6" x14ac:dyDescent="0.35">
      <c r="A40" t="s">
        <v>1219</v>
      </c>
      <c r="B40" t="s">
        <v>1220</v>
      </c>
      <c r="C40">
        <v>2</v>
      </c>
      <c r="D40" t="s">
        <v>2</v>
      </c>
      <c r="E40">
        <v>193916.91666666669</v>
      </c>
      <c r="F40">
        <v>387833.83333333331</v>
      </c>
    </row>
    <row r="41" spans="1:6" x14ac:dyDescent="0.35">
      <c r="A41" t="s">
        <v>1221</v>
      </c>
      <c r="B41" t="s">
        <v>1222</v>
      </c>
      <c r="C41">
        <v>186</v>
      </c>
      <c r="D41" t="s">
        <v>2</v>
      </c>
      <c r="E41">
        <v>1997.6021505376341</v>
      </c>
      <c r="F41">
        <v>371554</v>
      </c>
    </row>
    <row r="42" spans="1:6" x14ac:dyDescent="0.35">
      <c r="A42" t="s">
        <v>1223</v>
      </c>
      <c r="B42" t="s">
        <v>1224</v>
      </c>
      <c r="C42">
        <v>116</v>
      </c>
      <c r="D42" t="s">
        <v>5</v>
      </c>
      <c r="E42">
        <v>3002.2471698113209</v>
      </c>
      <c r="F42">
        <v>348260.6716981132</v>
      </c>
    </row>
    <row r="43" spans="1:6" x14ac:dyDescent="0.35">
      <c r="A43" t="s">
        <v>1225</v>
      </c>
      <c r="B43" t="s">
        <v>1226</v>
      </c>
      <c r="C43">
        <v>16</v>
      </c>
      <c r="D43" t="s">
        <v>2</v>
      </c>
      <c r="E43">
        <v>21031.6875</v>
      </c>
      <c r="F43">
        <v>336507</v>
      </c>
    </row>
    <row r="44" spans="1:6" x14ac:dyDescent="0.35">
      <c r="A44" t="s">
        <v>1227</v>
      </c>
      <c r="B44" t="s">
        <v>1228</v>
      </c>
      <c r="C44">
        <v>5</v>
      </c>
      <c r="D44" t="s">
        <v>5</v>
      </c>
      <c r="E44">
        <v>64861.866666666669</v>
      </c>
      <c r="F44">
        <v>324309.33333333337</v>
      </c>
    </row>
    <row r="45" spans="1:6" x14ac:dyDescent="0.35">
      <c r="A45" t="s">
        <v>1229</v>
      </c>
      <c r="B45" t="s">
        <v>1230</v>
      </c>
      <c r="C45">
        <v>4</v>
      </c>
      <c r="D45" t="s">
        <v>5</v>
      </c>
      <c r="E45">
        <v>77177</v>
      </c>
      <c r="F45">
        <v>308708</v>
      </c>
    </row>
    <row r="46" spans="1:6" x14ac:dyDescent="0.35">
      <c r="A46" t="s">
        <v>1231</v>
      </c>
      <c r="B46" t="s">
        <v>1232</v>
      </c>
      <c r="C46">
        <v>2</v>
      </c>
      <c r="D46" t="s">
        <v>2</v>
      </c>
      <c r="E46">
        <v>146969</v>
      </c>
      <c r="F46">
        <v>293938</v>
      </c>
    </row>
    <row r="47" spans="1:6" x14ac:dyDescent="0.35">
      <c r="A47" t="s">
        <v>1233</v>
      </c>
      <c r="B47" t="s">
        <v>1234</v>
      </c>
      <c r="C47">
        <v>2</v>
      </c>
      <c r="D47" t="s">
        <v>2</v>
      </c>
      <c r="E47">
        <v>142340.5</v>
      </c>
      <c r="F47">
        <v>284681</v>
      </c>
    </row>
    <row r="48" spans="1:6" x14ac:dyDescent="0.35">
      <c r="A48" t="s">
        <v>1235</v>
      </c>
      <c r="B48" t="s">
        <v>276</v>
      </c>
      <c r="C48">
        <v>351</v>
      </c>
      <c r="D48" t="s">
        <v>2</v>
      </c>
      <c r="E48">
        <v>792.68390039916369</v>
      </c>
      <c r="F48">
        <v>278232.04904010647</v>
      </c>
    </row>
    <row r="49" spans="1:6" x14ac:dyDescent="0.35">
      <c r="A49" t="s">
        <v>1236</v>
      </c>
      <c r="B49" t="s">
        <v>1237</v>
      </c>
      <c r="C49">
        <v>1</v>
      </c>
      <c r="D49" t="s">
        <v>5</v>
      </c>
      <c r="E49">
        <v>265202</v>
      </c>
      <c r="F49">
        <v>265202</v>
      </c>
    </row>
    <row r="50" spans="1:6" x14ac:dyDescent="0.35">
      <c r="A50" t="s">
        <v>1238</v>
      </c>
      <c r="B50" t="s">
        <v>1192</v>
      </c>
      <c r="C50">
        <v>6</v>
      </c>
      <c r="D50" t="s">
        <v>5</v>
      </c>
      <c r="E50">
        <v>43659.904761904763</v>
      </c>
      <c r="F50">
        <v>261959.42857142861</v>
      </c>
    </row>
    <row r="51" spans="1:6" x14ac:dyDescent="0.35">
      <c r="A51" t="s">
        <v>1239</v>
      </c>
      <c r="B51" t="s">
        <v>1240</v>
      </c>
      <c r="C51">
        <v>4</v>
      </c>
      <c r="D51" t="s">
        <v>2</v>
      </c>
      <c r="E51">
        <v>65092.4</v>
      </c>
      <c r="F51">
        <v>260369.6</v>
      </c>
    </row>
    <row r="52" spans="1:6" x14ac:dyDescent="0.35">
      <c r="A52" t="s">
        <v>1241</v>
      </c>
      <c r="B52" t="s">
        <v>1242</v>
      </c>
      <c r="C52">
        <v>2</v>
      </c>
      <c r="D52" t="s">
        <v>5</v>
      </c>
      <c r="E52">
        <v>126215.5</v>
      </c>
      <c r="F52">
        <v>252431</v>
      </c>
    </row>
    <row r="53" spans="1:6" x14ac:dyDescent="0.35">
      <c r="A53" t="s">
        <v>1243</v>
      </c>
      <c r="B53" t="s">
        <v>1244</v>
      </c>
      <c r="C53">
        <v>3</v>
      </c>
      <c r="D53" t="s">
        <v>5</v>
      </c>
      <c r="E53">
        <v>82115.333333333328</v>
      </c>
      <c r="F53">
        <v>246346</v>
      </c>
    </row>
    <row r="54" spans="1:6" x14ac:dyDescent="0.35">
      <c r="A54" t="s">
        <v>1245</v>
      </c>
      <c r="B54" t="s">
        <v>1246</v>
      </c>
      <c r="C54">
        <v>144</v>
      </c>
      <c r="D54" t="s">
        <v>2</v>
      </c>
      <c r="E54">
        <v>1629.7567567567571</v>
      </c>
      <c r="F54">
        <v>234684.97297297299</v>
      </c>
    </row>
    <row r="55" spans="1:6" x14ac:dyDescent="0.35">
      <c r="A55" t="s">
        <v>1247</v>
      </c>
      <c r="B55" t="s">
        <v>1248</v>
      </c>
      <c r="C55">
        <v>2</v>
      </c>
      <c r="D55" t="s">
        <v>5</v>
      </c>
      <c r="E55">
        <v>110387</v>
      </c>
      <c r="F55">
        <v>220774</v>
      </c>
    </row>
    <row r="56" spans="1:6" x14ac:dyDescent="0.35">
      <c r="A56" t="s">
        <v>1247</v>
      </c>
      <c r="B56" t="s">
        <v>1248</v>
      </c>
      <c r="C56">
        <v>2</v>
      </c>
      <c r="D56" t="s">
        <v>5</v>
      </c>
      <c r="E56">
        <v>110387</v>
      </c>
      <c r="F56">
        <v>220774</v>
      </c>
    </row>
    <row r="57" spans="1:6" x14ac:dyDescent="0.35">
      <c r="A57" t="s">
        <v>1249</v>
      </c>
      <c r="B57" t="s">
        <v>1250</v>
      </c>
      <c r="C57">
        <v>5</v>
      </c>
      <c r="D57" t="s">
        <v>5</v>
      </c>
      <c r="E57">
        <v>43032</v>
      </c>
      <c r="F57">
        <v>215160</v>
      </c>
    </row>
    <row r="58" spans="1:6" x14ac:dyDescent="0.35">
      <c r="A58" t="s">
        <v>1251</v>
      </c>
      <c r="B58" t="s">
        <v>1240</v>
      </c>
      <c r="C58">
        <v>3</v>
      </c>
      <c r="D58" t="s">
        <v>2</v>
      </c>
      <c r="E58">
        <v>65092.4</v>
      </c>
      <c r="F58">
        <v>195277.2</v>
      </c>
    </row>
    <row r="59" spans="1:6" x14ac:dyDescent="0.35">
      <c r="A59" t="s">
        <v>1252</v>
      </c>
      <c r="B59" t="s">
        <v>1220</v>
      </c>
      <c r="C59">
        <v>1</v>
      </c>
      <c r="D59" t="s">
        <v>2</v>
      </c>
      <c r="E59">
        <v>193916.91666666669</v>
      </c>
      <c r="F59">
        <v>193916.91666666669</v>
      </c>
    </row>
    <row r="60" spans="1:6" x14ac:dyDescent="0.35">
      <c r="A60" t="s">
        <v>1253</v>
      </c>
      <c r="B60" t="s">
        <v>1254</v>
      </c>
      <c r="C60">
        <v>1</v>
      </c>
      <c r="D60" t="s">
        <v>5</v>
      </c>
      <c r="E60">
        <v>182410</v>
      </c>
      <c r="F60">
        <v>182410</v>
      </c>
    </row>
    <row r="61" spans="1:6" x14ac:dyDescent="0.35">
      <c r="A61" t="s">
        <v>1255</v>
      </c>
      <c r="B61" t="s">
        <v>1256</v>
      </c>
      <c r="C61">
        <v>2</v>
      </c>
      <c r="D61" t="s">
        <v>5</v>
      </c>
      <c r="E61">
        <v>87612.5</v>
      </c>
      <c r="F61">
        <v>175225</v>
      </c>
    </row>
    <row r="62" spans="1:6" x14ac:dyDescent="0.35">
      <c r="A62" t="s">
        <v>1257</v>
      </c>
      <c r="B62" t="s">
        <v>1258</v>
      </c>
      <c r="C62">
        <v>5</v>
      </c>
      <c r="D62" t="s">
        <v>5</v>
      </c>
      <c r="E62">
        <v>34276.714285714283</v>
      </c>
      <c r="F62">
        <v>171383.57142857139</v>
      </c>
    </row>
    <row r="63" spans="1:6" x14ac:dyDescent="0.35">
      <c r="A63" t="s">
        <v>1259</v>
      </c>
      <c r="B63" t="s">
        <v>1260</v>
      </c>
      <c r="C63">
        <v>30</v>
      </c>
      <c r="D63" t="s">
        <v>2</v>
      </c>
      <c r="E63">
        <v>5581.9666666666662</v>
      </c>
      <c r="F63">
        <v>167459</v>
      </c>
    </row>
    <row r="64" spans="1:6" x14ac:dyDescent="0.35">
      <c r="A64" t="s">
        <v>1261</v>
      </c>
      <c r="B64" t="s">
        <v>1262</v>
      </c>
      <c r="C64">
        <v>30</v>
      </c>
      <c r="D64" t="s">
        <v>2</v>
      </c>
      <c r="E64">
        <v>5525.2333333333336</v>
      </c>
      <c r="F64">
        <v>165757</v>
      </c>
    </row>
    <row r="65" spans="1:6" x14ac:dyDescent="0.35">
      <c r="A65" t="s">
        <v>1263</v>
      </c>
      <c r="B65" t="s">
        <v>1264</v>
      </c>
      <c r="C65">
        <v>20</v>
      </c>
      <c r="D65" t="s">
        <v>2</v>
      </c>
      <c r="E65">
        <v>8086.28</v>
      </c>
      <c r="F65">
        <v>161725.6</v>
      </c>
    </row>
    <row r="66" spans="1:6" x14ac:dyDescent="0.35">
      <c r="A66" t="s">
        <v>1265</v>
      </c>
      <c r="B66" t="s">
        <v>1266</v>
      </c>
      <c r="C66">
        <v>39</v>
      </c>
      <c r="D66" t="s">
        <v>5</v>
      </c>
      <c r="E66">
        <v>4131.6410256410254</v>
      </c>
      <c r="F66">
        <v>161134</v>
      </c>
    </row>
    <row r="67" spans="1:6" x14ac:dyDescent="0.35">
      <c r="A67" t="s">
        <v>1267</v>
      </c>
      <c r="B67" t="s">
        <v>1268</v>
      </c>
      <c r="C67">
        <v>8</v>
      </c>
      <c r="D67" t="s">
        <v>5</v>
      </c>
      <c r="E67">
        <v>19670.125</v>
      </c>
      <c r="F67">
        <v>157361</v>
      </c>
    </row>
    <row r="68" spans="1:6" x14ac:dyDescent="0.35">
      <c r="A68" t="s">
        <v>1269</v>
      </c>
      <c r="B68" t="s">
        <v>1270</v>
      </c>
      <c r="C68">
        <v>7</v>
      </c>
      <c r="D68" t="s">
        <v>5</v>
      </c>
      <c r="E68">
        <v>22235.857142857141</v>
      </c>
      <c r="F68">
        <v>155651</v>
      </c>
    </row>
    <row r="69" spans="1:6" x14ac:dyDescent="0.35">
      <c r="A69" t="s">
        <v>1271</v>
      </c>
      <c r="B69" t="s">
        <v>1272</v>
      </c>
      <c r="C69">
        <v>7</v>
      </c>
      <c r="D69" t="s">
        <v>5</v>
      </c>
      <c r="E69">
        <v>21939.28571428571</v>
      </c>
      <c r="F69">
        <v>153575</v>
      </c>
    </row>
    <row r="70" spans="1:6" x14ac:dyDescent="0.35">
      <c r="A70" t="s">
        <v>1273</v>
      </c>
      <c r="B70" t="s">
        <v>1274</v>
      </c>
      <c r="C70">
        <v>5</v>
      </c>
      <c r="D70" t="s">
        <v>2</v>
      </c>
      <c r="E70">
        <v>30630.799999999999</v>
      </c>
      <c r="F70">
        <v>153154</v>
      </c>
    </row>
    <row r="71" spans="1:6" x14ac:dyDescent="0.35">
      <c r="A71" t="s">
        <v>1275</v>
      </c>
      <c r="B71" t="s">
        <v>1276</v>
      </c>
      <c r="C71">
        <v>1</v>
      </c>
      <c r="D71" t="s">
        <v>2</v>
      </c>
      <c r="E71">
        <v>140268</v>
      </c>
      <c r="F71">
        <v>140268</v>
      </c>
    </row>
    <row r="72" spans="1:6" x14ac:dyDescent="0.35">
      <c r="A72" t="s">
        <v>1277</v>
      </c>
      <c r="B72" t="s">
        <v>1278</v>
      </c>
      <c r="C72">
        <v>150</v>
      </c>
      <c r="D72" t="s">
        <v>5</v>
      </c>
      <c r="E72">
        <v>919.26666666666665</v>
      </c>
      <c r="F72">
        <v>137890</v>
      </c>
    </row>
    <row r="73" spans="1:6" x14ac:dyDescent="0.35">
      <c r="A73" t="s">
        <v>1279</v>
      </c>
      <c r="B73" t="s">
        <v>1280</v>
      </c>
      <c r="C73">
        <v>40</v>
      </c>
      <c r="D73" t="s">
        <v>2</v>
      </c>
      <c r="E73">
        <v>3348.8249999999998</v>
      </c>
      <c r="F73">
        <v>133953</v>
      </c>
    </row>
    <row r="74" spans="1:6" x14ac:dyDescent="0.35">
      <c r="A74" t="s">
        <v>1281</v>
      </c>
      <c r="B74" t="s">
        <v>1282</v>
      </c>
      <c r="C74">
        <v>10</v>
      </c>
      <c r="D74" t="s">
        <v>2</v>
      </c>
      <c r="E74">
        <v>13288.04109589041</v>
      </c>
      <c r="F74">
        <v>132880.4109589041</v>
      </c>
    </row>
    <row r="75" spans="1:6" x14ac:dyDescent="0.35">
      <c r="A75" t="s">
        <v>1283</v>
      </c>
      <c r="B75" t="s">
        <v>1284</v>
      </c>
      <c r="C75">
        <v>5</v>
      </c>
      <c r="D75" t="s">
        <v>5</v>
      </c>
      <c r="E75">
        <v>26083.142857142859</v>
      </c>
      <c r="F75">
        <v>130415.7142857143</v>
      </c>
    </row>
    <row r="76" spans="1:6" x14ac:dyDescent="0.35">
      <c r="A76" t="s">
        <v>1285</v>
      </c>
      <c r="B76" t="s">
        <v>1286</v>
      </c>
      <c r="C76">
        <v>150</v>
      </c>
      <c r="D76" t="s">
        <v>2</v>
      </c>
      <c r="E76">
        <v>864.29333333333329</v>
      </c>
      <c r="F76">
        <v>129644</v>
      </c>
    </row>
    <row r="77" spans="1:6" x14ac:dyDescent="0.35">
      <c r="A77" t="s">
        <v>1287</v>
      </c>
      <c r="B77" t="s">
        <v>1206</v>
      </c>
      <c r="C77">
        <v>3</v>
      </c>
      <c r="D77" t="s">
        <v>5</v>
      </c>
      <c r="E77">
        <v>43206.6875</v>
      </c>
      <c r="F77">
        <v>129620.0625</v>
      </c>
    </row>
    <row r="78" spans="1:6" x14ac:dyDescent="0.35">
      <c r="A78" t="s">
        <v>1288</v>
      </c>
      <c r="B78" t="s">
        <v>1289</v>
      </c>
      <c r="C78">
        <v>6</v>
      </c>
      <c r="D78" t="s">
        <v>5</v>
      </c>
      <c r="E78">
        <v>21104.357142857141</v>
      </c>
      <c r="F78">
        <v>126626.1428571428</v>
      </c>
    </row>
    <row r="79" spans="1:6" x14ac:dyDescent="0.35">
      <c r="A79" t="s">
        <v>1290</v>
      </c>
      <c r="B79" t="s">
        <v>1291</v>
      </c>
      <c r="C79">
        <v>2</v>
      </c>
      <c r="D79" t="s">
        <v>5</v>
      </c>
      <c r="E79">
        <v>63165</v>
      </c>
      <c r="F79">
        <v>126330</v>
      </c>
    </row>
    <row r="80" spans="1:6" x14ac:dyDescent="0.35">
      <c r="A80" t="s">
        <v>1292</v>
      </c>
      <c r="B80" t="s">
        <v>1293</v>
      </c>
      <c r="C80">
        <v>6</v>
      </c>
      <c r="D80" t="s">
        <v>2</v>
      </c>
      <c r="E80">
        <v>20475.5</v>
      </c>
      <c r="F80">
        <v>122853</v>
      </c>
    </row>
    <row r="81" spans="1:6" x14ac:dyDescent="0.35">
      <c r="A81" t="s">
        <v>1294</v>
      </c>
      <c r="B81" t="s">
        <v>1295</v>
      </c>
      <c r="C81">
        <v>2</v>
      </c>
      <c r="D81" t="s">
        <v>5</v>
      </c>
      <c r="E81">
        <v>59961.142857142862</v>
      </c>
      <c r="F81">
        <v>119922.2857142857</v>
      </c>
    </row>
    <row r="82" spans="1:6" x14ac:dyDescent="0.35">
      <c r="A82" t="s">
        <v>1296</v>
      </c>
      <c r="B82" t="s">
        <v>320</v>
      </c>
      <c r="C82">
        <v>3</v>
      </c>
      <c r="D82" t="s">
        <v>5</v>
      </c>
      <c r="E82">
        <v>39715.333333333343</v>
      </c>
      <c r="F82">
        <v>119146</v>
      </c>
    </row>
    <row r="83" spans="1:6" x14ac:dyDescent="0.35">
      <c r="A83" t="s">
        <v>1297</v>
      </c>
      <c r="B83" t="s">
        <v>1298</v>
      </c>
      <c r="C83">
        <v>4</v>
      </c>
      <c r="D83" t="s">
        <v>5</v>
      </c>
      <c r="E83">
        <v>27720</v>
      </c>
      <c r="F83">
        <v>110880</v>
      </c>
    </row>
    <row r="84" spans="1:6" x14ac:dyDescent="0.35">
      <c r="A84" t="s">
        <v>1299</v>
      </c>
      <c r="B84" t="s">
        <v>1248</v>
      </c>
      <c r="C84">
        <v>1</v>
      </c>
      <c r="D84" t="s">
        <v>5</v>
      </c>
      <c r="E84">
        <v>110387</v>
      </c>
      <c r="F84">
        <v>110387</v>
      </c>
    </row>
    <row r="85" spans="1:6" x14ac:dyDescent="0.35">
      <c r="A85" t="s">
        <v>1300</v>
      </c>
      <c r="B85" t="s">
        <v>1301</v>
      </c>
      <c r="C85">
        <v>7</v>
      </c>
      <c r="D85" t="s">
        <v>2</v>
      </c>
      <c r="E85">
        <v>15363.428571428571</v>
      </c>
      <c r="F85">
        <v>107544</v>
      </c>
    </row>
    <row r="86" spans="1:6" x14ac:dyDescent="0.35">
      <c r="A86" t="s">
        <v>1302</v>
      </c>
      <c r="B86" t="s">
        <v>1303</v>
      </c>
      <c r="C86">
        <v>2</v>
      </c>
      <c r="D86" t="s">
        <v>2</v>
      </c>
      <c r="E86">
        <v>53526</v>
      </c>
      <c r="F86">
        <v>107052</v>
      </c>
    </row>
    <row r="87" spans="1:6" x14ac:dyDescent="0.35">
      <c r="A87" t="s">
        <v>1302</v>
      </c>
      <c r="B87" t="s">
        <v>1303</v>
      </c>
      <c r="C87">
        <v>2</v>
      </c>
      <c r="D87" t="s">
        <v>2</v>
      </c>
      <c r="E87">
        <v>53526</v>
      </c>
      <c r="F87">
        <v>107052</v>
      </c>
    </row>
    <row r="88" spans="1:6" x14ac:dyDescent="0.35">
      <c r="A88" t="s">
        <v>1304</v>
      </c>
      <c r="B88" t="s">
        <v>1214</v>
      </c>
      <c r="C88">
        <v>1</v>
      </c>
      <c r="D88" t="s">
        <v>2</v>
      </c>
      <c r="E88">
        <v>106598</v>
      </c>
      <c r="F88">
        <v>106598</v>
      </c>
    </row>
    <row r="89" spans="1:6" x14ac:dyDescent="0.35">
      <c r="A89" t="s">
        <v>1305</v>
      </c>
      <c r="B89" t="s">
        <v>1306</v>
      </c>
      <c r="C89">
        <v>2</v>
      </c>
      <c r="D89" t="s">
        <v>5</v>
      </c>
      <c r="E89">
        <v>52788.5</v>
      </c>
      <c r="F89">
        <v>105577</v>
      </c>
    </row>
    <row r="90" spans="1:6" x14ac:dyDescent="0.35">
      <c r="A90" t="s">
        <v>1307</v>
      </c>
      <c r="B90" t="s">
        <v>1308</v>
      </c>
      <c r="C90">
        <v>7</v>
      </c>
      <c r="D90" t="s">
        <v>2</v>
      </c>
      <c r="E90">
        <v>14969</v>
      </c>
      <c r="F90">
        <v>104783</v>
      </c>
    </row>
    <row r="91" spans="1:6" x14ac:dyDescent="0.35">
      <c r="A91" t="s">
        <v>1309</v>
      </c>
      <c r="B91" t="s">
        <v>427</v>
      </c>
      <c r="C91">
        <v>5</v>
      </c>
      <c r="D91" t="s">
        <v>5</v>
      </c>
      <c r="E91">
        <v>20908.8125</v>
      </c>
      <c r="F91">
        <v>104544.0625</v>
      </c>
    </row>
    <row r="92" spans="1:6" x14ac:dyDescent="0.35">
      <c r="A92" t="s">
        <v>1310</v>
      </c>
      <c r="B92" t="s">
        <v>1311</v>
      </c>
      <c r="C92">
        <v>4</v>
      </c>
      <c r="D92" t="s">
        <v>2</v>
      </c>
      <c r="E92">
        <v>25482</v>
      </c>
      <c r="F92">
        <v>101928</v>
      </c>
    </row>
    <row r="93" spans="1:6" x14ac:dyDescent="0.35">
      <c r="A93" t="s">
        <v>1312</v>
      </c>
      <c r="B93" t="s">
        <v>1313</v>
      </c>
      <c r="C93">
        <v>30</v>
      </c>
      <c r="D93" t="s">
        <v>5</v>
      </c>
      <c r="E93">
        <v>3348.833333333333</v>
      </c>
      <c r="F93">
        <v>100465</v>
      </c>
    </row>
    <row r="94" spans="1:6" x14ac:dyDescent="0.35">
      <c r="A94" t="s">
        <v>1314</v>
      </c>
      <c r="B94" t="s">
        <v>1175</v>
      </c>
      <c r="C94">
        <v>2</v>
      </c>
      <c r="D94" t="s">
        <v>5</v>
      </c>
      <c r="E94">
        <v>48149</v>
      </c>
      <c r="F94">
        <v>96298</v>
      </c>
    </row>
    <row r="95" spans="1:6" x14ac:dyDescent="0.35">
      <c r="A95" t="s">
        <v>1315</v>
      </c>
      <c r="B95" t="s">
        <v>1316</v>
      </c>
      <c r="C95">
        <v>10</v>
      </c>
      <c r="D95" t="s">
        <v>2</v>
      </c>
      <c r="E95">
        <v>9348.1</v>
      </c>
      <c r="F95">
        <v>93481</v>
      </c>
    </row>
    <row r="96" spans="1:6" x14ac:dyDescent="0.35">
      <c r="A96" t="s">
        <v>1317</v>
      </c>
      <c r="B96" t="s">
        <v>1318</v>
      </c>
      <c r="C96">
        <v>4</v>
      </c>
      <c r="D96" t="s">
        <v>5</v>
      </c>
      <c r="E96">
        <v>23256.75</v>
      </c>
      <c r="F96">
        <v>93027</v>
      </c>
    </row>
    <row r="97" spans="1:6" x14ac:dyDescent="0.35">
      <c r="A97" t="s">
        <v>1319</v>
      </c>
      <c r="B97" t="s">
        <v>1320</v>
      </c>
      <c r="C97">
        <v>10</v>
      </c>
      <c r="D97" t="s">
        <v>5</v>
      </c>
      <c r="E97">
        <v>9291.2999999999993</v>
      </c>
      <c r="F97">
        <v>92913</v>
      </c>
    </row>
    <row r="98" spans="1:6" x14ac:dyDescent="0.35">
      <c r="A98" t="s">
        <v>1321</v>
      </c>
      <c r="B98" t="s">
        <v>1322</v>
      </c>
      <c r="C98">
        <v>1</v>
      </c>
      <c r="D98" t="s">
        <v>5</v>
      </c>
      <c r="E98">
        <v>92649</v>
      </c>
      <c r="F98">
        <v>92649</v>
      </c>
    </row>
    <row r="99" spans="1:6" x14ac:dyDescent="0.35">
      <c r="A99" t="s">
        <v>1323</v>
      </c>
      <c r="B99" t="s">
        <v>1324</v>
      </c>
      <c r="C99">
        <v>5</v>
      </c>
      <c r="D99" t="s">
        <v>5</v>
      </c>
      <c r="E99">
        <v>17033</v>
      </c>
      <c r="F99">
        <v>85165</v>
      </c>
    </row>
    <row r="100" spans="1:6" x14ac:dyDescent="0.35">
      <c r="A100" t="s">
        <v>1325</v>
      </c>
      <c r="B100" t="s">
        <v>1326</v>
      </c>
      <c r="C100">
        <v>80</v>
      </c>
      <c r="D100" t="s">
        <v>2</v>
      </c>
      <c r="E100">
        <v>1063.3125</v>
      </c>
      <c r="F100">
        <v>85065</v>
      </c>
    </row>
    <row r="101" spans="1:6" x14ac:dyDescent="0.35">
      <c r="A101" t="s">
        <v>1327</v>
      </c>
      <c r="B101" t="s">
        <v>1328</v>
      </c>
      <c r="C101">
        <v>2</v>
      </c>
      <c r="D101" t="s">
        <v>2</v>
      </c>
      <c r="E101">
        <v>42299.4</v>
      </c>
      <c r="F101">
        <v>84598.8</v>
      </c>
    </row>
    <row r="102" spans="1:6" x14ac:dyDescent="0.35">
      <c r="A102" t="s">
        <v>1329</v>
      </c>
      <c r="B102" t="s">
        <v>1330</v>
      </c>
      <c r="C102">
        <v>3</v>
      </c>
      <c r="D102" t="s">
        <v>2</v>
      </c>
      <c r="E102">
        <v>27186.566666666669</v>
      </c>
      <c r="F102">
        <v>81559.7</v>
      </c>
    </row>
    <row r="103" spans="1:6" x14ac:dyDescent="0.35">
      <c r="A103" t="s">
        <v>1331</v>
      </c>
      <c r="B103" t="s">
        <v>1332</v>
      </c>
      <c r="C103">
        <v>7</v>
      </c>
      <c r="D103" t="s">
        <v>2</v>
      </c>
      <c r="E103">
        <v>11265.28571428571</v>
      </c>
      <c r="F103">
        <v>78857</v>
      </c>
    </row>
    <row r="104" spans="1:6" x14ac:dyDescent="0.35">
      <c r="A104" t="s">
        <v>1333</v>
      </c>
      <c r="B104" t="s">
        <v>1334</v>
      </c>
      <c r="C104">
        <v>1</v>
      </c>
      <c r="D104" t="s">
        <v>5</v>
      </c>
      <c r="E104">
        <v>77177</v>
      </c>
      <c r="F104">
        <v>77177</v>
      </c>
    </row>
    <row r="105" spans="1:6" x14ac:dyDescent="0.35">
      <c r="A105" t="s">
        <v>1333</v>
      </c>
      <c r="B105" t="s">
        <v>1334</v>
      </c>
      <c r="C105">
        <v>1</v>
      </c>
      <c r="D105" t="s">
        <v>5</v>
      </c>
      <c r="E105">
        <v>77177</v>
      </c>
      <c r="F105">
        <v>77177</v>
      </c>
    </row>
    <row r="106" spans="1:6" x14ac:dyDescent="0.35">
      <c r="A106" t="s">
        <v>1335</v>
      </c>
      <c r="B106" t="s">
        <v>1336</v>
      </c>
      <c r="C106">
        <v>1</v>
      </c>
      <c r="D106" t="s">
        <v>2</v>
      </c>
      <c r="E106">
        <v>77177</v>
      </c>
      <c r="F106">
        <v>77177</v>
      </c>
    </row>
    <row r="107" spans="1:6" x14ac:dyDescent="0.35">
      <c r="A107" t="s">
        <v>1337</v>
      </c>
      <c r="B107" t="s">
        <v>1338</v>
      </c>
      <c r="C107">
        <v>59</v>
      </c>
      <c r="D107" t="s">
        <v>2</v>
      </c>
      <c r="E107">
        <v>1226.333333333333</v>
      </c>
      <c r="F107">
        <v>72353.666666666657</v>
      </c>
    </row>
    <row r="108" spans="1:6" x14ac:dyDescent="0.35">
      <c r="A108" t="s">
        <v>1339</v>
      </c>
      <c r="B108" t="s">
        <v>1340</v>
      </c>
      <c r="C108">
        <v>21</v>
      </c>
      <c r="D108" t="s">
        <v>2</v>
      </c>
      <c r="E108">
        <v>3348.8095238095239</v>
      </c>
      <c r="F108">
        <v>70325</v>
      </c>
    </row>
    <row r="109" spans="1:6" x14ac:dyDescent="0.35">
      <c r="A109" t="s">
        <v>1341</v>
      </c>
      <c r="B109" t="s">
        <v>1258</v>
      </c>
      <c r="C109">
        <v>2</v>
      </c>
      <c r="D109" t="s">
        <v>5</v>
      </c>
      <c r="E109">
        <v>34276.714285714283</v>
      </c>
      <c r="F109">
        <v>68553.428571428565</v>
      </c>
    </row>
    <row r="110" spans="1:6" x14ac:dyDescent="0.35">
      <c r="A110" t="s">
        <v>1342</v>
      </c>
      <c r="B110" t="s">
        <v>1343</v>
      </c>
      <c r="C110">
        <v>4</v>
      </c>
      <c r="D110" t="s">
        <v>5</v>
      </c>
      <c r="E110">
        <v>17036.75</v>
      </c>
      <c r="F110">
        <v>68147</v>
      </c>
    </row>
    <row r="111" spans="1:6" x14ac:dyDescent="0.35">
      <c r="A111" t="s">
        <v>1344</v>
      </c>
      <c r="B111" t="s">
        <v>1345</v>
      </c>
      <c r="C111">
        <v>4</v>
      </c>
      <c r="D111" t="s">
        <v>2</v>
      </c>
      <c r="E111">
        <v>16735</v>
      </c>
      <c r="F111">
        <v>66940</v>
      </c>
    </row>
    <row r="112" spans="1:6" x14ac:dyDescent="0.35">
      <c r="A112" t="s">
        <v>1346</v>
      </c>
      <c r="B112" t="s">
        <v>1347</v>
      </c>
      <c r="C112">
        <v>1</v>
      </c>
      <c r="D112" t="s">
        <v>5</v>
      </c>
      <c r="E112">
        <v>66313</v>
      </c>
      <c r="F112">
        <v>66313</v>
      </c>
    </row>
    <row r="113" spans="1:6" x14ac:dyDescent="0.35">
      <c r="A113" t="s">
        <v>1348</v>
      </c>
      <c r="B113" t="s">
        <v>1349</v>
      </c>
      <c r="C113">
        <v>1</v>
      </c>
      <c r="D113" t="s">
        <v>5</v>
      </c>
      <c r="E113">
        <v>66119</v>
      </c>
      <c r="F113">
        <v>66119</v>
      </c>
    </row>
    <row r="114" spans="1:6" x14ac:dyDescent="0.35">
      <c r="A114" t="s">
        <v>1350</v>
      </c>
      <c r="B114" t="s">
        <v>1351</v>
      </c>
      <c r="C114">
        <v>34</v>
      </c>
      <c r="D114" t="s">
        <v>2</v>
      </c>
      <c r="E114">
        <v>1917.117647058823</v>
      </c>
      <c r="F114">
        <v>65182</v>
      </c>
    </row>
    <row r="115" spans="1:6" x14ac:dyDescent="0.35">
      <c r="A115" t="s">
        <v>1352</v>
      </c>
      <c r="B115" t="s">
        <v>1240</v>
      </c>
      <c r="C115">
        <v>1</v>
      </c>
      <c r="D115" t="s">
        <v>2</v>
      </c>
      <c r="E115">
        <v>65092.4</v>
      </c>
      <c r="F115">
        <v>65092.4</v>
      </c>
    </row>
    <row r="116" spans="1:6" x14ac:dyDescent="0.35">
      <c r="A116" t="s">
        <v>1353</v>
      </c>
      <c r="B116" t="s">
        <v>1354</v>
      </c>
      <c r="C116">
        <v>7</v>
      </c>
      <c r="D116" t="s">
        <v>2</v>
      </c>
      <c r="E116">
        <v>9291.2999999999993</v>
      </c>
      <c r="F116">
        <v>65039.099999999991</v>
      </c>
    </row>
    <row r="117" spans="1:6" x14ac:dyDescent="0.35">
      <c r="A117" t="s">
        <v>1355</v>
      </c>
      <c r="B117" t="s">
        <v>1356</v>
      </c>
      <c r="C117">
        <v>43</v>
      </c>
      <c r="D117" t="s">
        <v>2</v>
      </c>
      <c r="E117">
        <v>1484.0930232558139</v>
      </c>
      <c r="F117">
        <v>63816</v>
      </c>
    </row>
    <row r="118" spans="1:6" x14ac:dyDescent="0.35">
      <c r="A118" t="s">
        <v>1357</v>
      </c>
      <c r="B118" t="s">
        <v>1358</v>
      </c>
      <c r="C118">
        <v>26</v>
      </c>
      <c r="D118" t="s">
        <v>5</v>
      </c>
      <c r="E118">
        <v>2447</v>
      </c>
      <c r="F118">
        <v>63622</v>
      </c>
    </row>
    <row r="119" spans="1:6" x14ac:dyDescent="0.35">
      <c r="A119" t="s">
        <v>1359</v>
      </c>
      <c r="B119" t="s">
        <v>1360</v>
      </c>
      <c r="C119">
        <v>82</v>
      </c>
      <c r="D119" t="s">
        <v>2</v>
      </c>
      <c r="E119">
        <v>775.21951219512198</v>
      </c>
      <c r="F119">
        <v>63568</v>
      </c>
    </row>
    <row r="120" spans="1:6" x14ac:dyDescent="0.35">
      <c r="A120" t="s">
        <v>1361</v>
      </c>
      <c r="B120" t="s">
        <v>1362</v>
      </c>
      <c r="C120">
        <v>92</v>
      </c>
      <c r="D120" t="s">
        <v>2</v>
      </c>
      <c r="E120">
        <v>625.945652173913</v>
      </c>
      <c r="F120">
        <v>57587</v>
      </c>
    </row>
    <row r="121" spans="1:6" x14ac:dyDescent="0.35">
      <c r="A121" t="s">
        <v>1363</v>
      </c>
      <c r="B121" t="s">
        <v>1364</v>
      </c>
      <c r="C121">
        <v>1</v>
      </c>
      <c r="D121" t="s">
        <v>5</v>
      </c>
      <c r="E121">
        <v>55842</v>
      </c>
      <c r="F121">
        <v>55842</v>
      </c>
    </row>
    <row r="122" spans="1:6" x14ac:dyDescent="0.35">
      <c r="A122" t="s">
        <v>1365</v>
      </c>
      <c r="B122" t="s">
        <v>1366</v>
      </c>
      <c r="C122">
        <v>4</v>
      </c>
      <c r="D122" t="s">
        <v>5</v>
      </c>
      <c r="E122">
        <v>13321.857142857139</v>
      </c>
      <c r="F122">
        <v>53287.428571428572</v>
      </c>
    </row>
    <row r="123" spans="1:6" x14ac:dyDescent="0.35">
      <c r="A123" t="s">
        <v>1367</v>
      </c>
      <c r="B123" t="s">
        <v>1368</v>
      </c>
      <c r="C123">
        <v>50</v>
      </c>
      <c r="D123" t="s">
        <v>2</v>
      </c>
      <c r="E123">
        <v>1040.6199999999999</v>
      </c>
      <c r="F123">
        <v>52030.999999999993</v>
      </c>
    </row>
    <row r="124" spans="1:6" x14ac:dyDescent="0.35">
      <c r="A124" t="s">
        <v>1369</v>
      </c>
      <c r="B124" t="s">
        <v>1370</v>
      </c>
      <c r="C124">
        <v>4</v>
      </c>
      <c r="D124" t="s">
        <v>5</v>
      </c>
      <c r="E124">
        <v>12908.75</v>
      </c>
      <c r="F124">
        <v>51635</v>
      </c>
    </row>
    <row r="125" spans="1:6" x14ac:dyDescent="0.35">
      <c r="A125" t="s">
        <v>1371</v>
      </c>
      <c r="B125" t="s">
        <v>1372</v>
      </c>
      <c r="C125">
        <v>1</v>
      </c>
      <c r="D125" t="s">
        <v>5</v>
      </c>
      <c r="E125">
        <v>50917.25</v>
      </c>
      <c r="F125">
        <v>50917.25</v>
      </c>
    </row>
    <row r="126" spans="1:6" x14ac:dyDescent="0.35">
      <c r="A126" t="s">
        <v>1373</v>
      </c>
      <c r="B126" t="s">
        <v>1374</v>
      </c>
      <c r="C126">
        <v>4</v>
      </c>
      <c r="D126" t="s">
        <v>5</v>
      </c>
      <c r="E126">
        <v>12231</v>
      </c>
      <c r="F126">
        <v>48924</v>
      </c>
    </row>
    <row r="127" spans="1:6" x14ac:dyDescent="0.35">
      <c r="A127" t="s">
        <v>1375</v>
      </c>
      <c r="B127" t="s">
        <v>1376</v>
      </c>
      <c r="C127">
        <v>104</v>
      </c>
      <c r="D127" t="s">
        <v>2</v>
      </c>
      <c r="E127">
        <v>452.5</v>
      </c>
      <c r="F127">
        <v>47060</v>
      </c>
    </row>
    <row r="128" spans="1:6" x14ac:dyDescent="0.35">
      <c r="A128" t="s">
        <v>414</v>
      </c>
      <c r="B128" t="s">
        <v>415</v>
      </c>
      <c r="C128">
        <v>1</v>
      </c>
      <c r="D128" t="s">
        <v>5</v>
      </c>
      <c r="E128">
        <v>46288.364705882363</v>
      </c>
      <c r="F128">
        <v>46288.364705882363</v>
      </c>
    </row>
    <row r="129" spans="1:6" x14ac:dyDescent="0.35">
      <c r="A129" t="s">
        <v>1377</v>
      </c>
      <c r="B129" t="s">
        <v>1378</v>
      </c>
      <c r="C129">
        <v>50</v>
      </c>
      <c r="D129" t="s">
        <v>2</v>
      </c>
      <c r="E129">
        <v>918.4</v>
      </c>
      <c r="F129">
        <v>45920</v>
      </c>
    </row>
    <row r="130" spans="1:6" x14ac:dyDescent="0.35">
      <c r="A130" t="s">
        <v>1379</v>
      </c>
      <c r="B130" t="s">
        <v>1380</v>
      </c>
      <c r="C130">
        <v>7</v>
      </c>
      <c r="D130" t="s">
        <v>5</v>
      </c>
      <c r="E130">
        <v>6547.55</v>
      </c>
      <c r="F130">
        <v>45832.85</v>
      </c>
    </row>
    <row r="131" spans="1:6" x14ac:dyDescent="0.35">
      <c r="A131" t="s">
        <v>1381</v>
      </c>
      <c r="B131" t="s">
        <v>1382</v>
      </c>
      <c r="C131">
        <v>3</v>
      </c>
      <c r="D131" t="s">
        <v>5</v>
      </c>
      <c r="E131">
        <v>14960</v>
      </c>
      <c r="F131">
        <v>44880</v>
      </c>
    </row>
    <row r="132" spans="1:6" x14ac:dyDescent="0.35">
      <c r="A132" t="s">
        <v>1383</v>
      </c>
      <c r="B132" t="s">
        <v>1384</v>
      </c>
      <c r="C132">
        <v>13</v>
      </c>
      <c r="D132" t="s">
        <v>2</v>
      </c>
      <c r="E132">
        <v>3348.8461538461538</v>
      </c>
      <c r="F132">
        <v>43535</v>
      </c>
    </row>
    <row r="133" spans="1:6" x14ac:dyDescent="0.35">
      <c r="A133" t="s">
        <v>1385</v>
      </c>
      <c r="B133" t="s">
        <v>1386</v>
      </c>
      <c r="C133">
        <v>1</v>
      </c>
      <c r="D133" t="s">
        <v>5</v>
      </c>
      <c r="E133">
        <v>42020</v>
      </c>
      <c r="F133">
        <v>42020</v>
      </c>
    </row>
    <row r="134" spans="1:6" x14ac:dyDescent="0.35">
      <c r="A134" t="s">
        <v>1387</v>
      </c>
      <c r="B134" t="s">
        <v>1388</v>
      </c>
      <c r="C134">
        <v>5</v>
      </c>
      <c r="D134" t="s">
        <v>5</v>
      </c>
      <c r="E134">
        <v>8239.9523809523816</v>
      </c>
      <c r="F134">
        <v>41199.761904761908</v>
      </c>
    </row>
    <row r="135" spans="1:6" x14ac:dyDescent="0.35">
      <c r="A135" t="s">
        <v>1389</v>
      </c>
      <c r="B135" t="s">
        <v>1390</v>
      </c>
      <c r="C135">
        <v>20</v>
      </c>
      <c r="D135" t="s">
        <v>5</v>
      </c>
      <c r="E135">
        <v>2018.4</v>
      </c>
      <c r="F135">
        <v>40368</v>
      </c>
    </row>
    <row r="136" spans="1:6" x14ac:dyDescent="0.35">
      <c r="A136" t="s">
        <v>1391</v>
      </c>
      <c r="B136" t="s">
        <v>1392</v>
      </c>
      <c r="C136">
        <v>7</v>
      </c>
      <c r="D136" t="s">
        <v>2</v>
      </c>
      <c r="E136">
        <v>5469.2857142857147</v>
      </c>
      <c r="F136">
        <v>38285</v>
      </c>
    </row>
    <row r="137" spans="1:6" x14ac:dyDescent="0.35">
      <c r="A137" t="s">
        <v>1393</v>
      </c>
      <c r="B137" t="s">
        <v>1394</v>
      </c>
      <c r="C137">
        <v>3</v>
      </c>
      <c r="D137" t="s">
        <v>2</v>
      </c>
      <c r="E137">
        <v>12697</v>
      </c>
      <c r="F137">
        <v>38091</v>
      </c>
    </row>
    <row r="138" spans="1:6" x14ac:dyDescent="0.35">
      <c r="A138" t="s">
        <v>1395</v>
      </c>
      <c r="B138" t="s">
        <v>1396</v>
      </c>
      <c r="C138">
        <v>2</v>
      </c>
      <c r="D138" t="s">
        <v>2</v>
      </c>
      <c r="E138">
        <v>18994</v>
      </c>
      <c r="F138">
        <v>37988</v>
      </c>
    </row>
    <row r="139" spans="1:6" x14ac:dyDescent="0.35">
      <c r="A139" t="s">
        <v>1397</v>
      </c>
      <c r="B139" t="s">
        <v>1398</v>
      </c>
      <c r="C139">
        <v>3</v>
      </c>
      <c r="D139" t="s">
        <v>2</v>
      </c>
      <c r="E139">
        <v>12641</v>
      </c>
      <c r="F139">
        <v>37923</v>
      </c>
    </row>
    <row r="140" spans="1:6" x14ac:dyDescent="0.35">
      <c r="A140" t="s">
        <v>1399</v>
      </c>
      <c r="B140" t="s">
        <v>1400</v>
      </c>
      <c r="C140">
        <v>6</v>
      </c>
      <c r="D140" t="s">
        <v>2</v>
      </c>
      <c r="E140">
        <v>6201.833333333333</v>
      </c>
      <c r="F140">
        <v>37211</v>
      </c>
    </row>
    <row r="141" spans="1:6" x14ac:dyDescent="0.35">
      <c r="A141" t="s">
        <v>1401</v>
      </c>
      <c r="B141" t="s">
        <v>1402</v>
      </c>
      <c r="C141">
        <v>4</v>
      </c>
      <c r="D141" t="s">
        <v>2</v>
      </c>
      <c r="E141">
        <v>9290.5</v>
      </c>
      <c r="F141">
        <v>37162</v>
      </c>
    </row>
    <row r="142" spans="1:6" x14ac:dyDescent="0.35">
      <c r="A142" t="s">
        <v>1403</v>
      </c>
      <c r="B142" t="s">
        <v>1404</v>
      </c>
      <c r="C142">
        <v>1</v>
      </c>
      <c r="D142" t="s">
        <v>5</v>
      </c>
      <c r="E142">
        <v>36607</v>
      </c>
      <c r="F142">
        <v>36607</v>
      </c>
    </row>
    <row r="143" spans="1:6" x14ac:dyDescent="0.35">
      <c r="A143" t="s">
        <v>1405</v>
      </c>
      <c r="B143" t="s">
        <v>1406</v>
      </c>
      <c r="C143">
        <v>10</v>
      </c>
      <c r="D143" t="s">
        <v>2</v>
      </c>
      <c r="E143">
        <v>3654.4</v>
      </c>
      <c r="F143">
        <v>36544</v>
      </c>
    </row>
    <row r="144" spans="1:6" x14ac:dyDescent="0.35">
      <c r="A144" t="s">
        <v>1407</v>
      </c>
      <c r="B144" t="s">
        <v>1408</v>
      </c>
      <c r="C144">
        <v>2</v>
      </c>
      <c r="D144" t="s">
        <v>2</v>
      </c>
      <c r="E144">
        <v>18182.5</v>
      </c>
      <c r="F144">
        <v>36365</v>
      </c>
    </row>
    <row r="145" spans="1:6" x14ac:dyDescent="0.35">
      <c r="A145" t="s">
        <v>1409</v>
      </c>
      <c r="B145" t="s">
        <v>1410</v>
      </c>
      <c r="C145">
        <v>60</v>
      </c>
      <c r="D145" t="s">
        <v>5</v>
      </c>
      <c r="E145">
        <v>598</v>
      </c>
      <c r="F145">
        <v>35880</v>
      </c>
    </row>
    <row r="146" spans="1:6" x14ac:dyDescent="0.35">
      <c r="A146" t="s">
        <v>1411</v>
      </c>
      <c r="B146" t="s">
        <v>1412</v>
      </c>
      <c r="C146">
        <v>1</v>
      </c>
      <c r="D146" t="s">
        <v>5</v>
      </c>
      <c r="E146">
        <v>35477</v>
      </c>
      <c r="F146">
        <v>35477</v>
      </c>
    </row>
    <row r="147" spans="1:6" x14ac:dyDescent="0.35">
      <c r="A147" t="s">
        <v>1413</v>
      </c>
      <c r="B147" t="s">
        <v>1414</v>
      </c>
      <c r="C147">
        <v>3</v>
      </c>
      <c r="D147" t="s">
        <v>2</v>
      </c>
      <c r="E147">
        <v>11817.66666666667</v>
      </c>
      <c r="F147">
        <v>35453</v>
      </c>
    </row>
    <row r="148" spans="1:6" x14ac:dyDescent="0.35">
      <c r="A148" t="s">
        <v>1415</v>
      </c>
      <c r="B148" t="s">
        <v>1416</v>
      </c>
      <c r="C148">
        <v>1</v>
      </c>
      <c r="D148" t="s">
        <v>2</v>
      </c>
      <c r="E148">
        <v>35041.800000000003</v>
      </c>
      <c r="F148">
        <v>35041.800000000003</v>
      </c>
    </row>
    <row r="149" spans="1:6" x14ac:dyDescent="0.35">
      <c r="A149" t="s">
        <v>1417</v>
      </c>
      <c r="B149" t="s">
        <v>1418</v>
      </c>
      <c r="C149">
        <v>2</v>
      </c>
      <c r="D149" t="s">
        <v>2</v>
      </c>
      <c r="E149">
        <v>17428.5</v>
      </c>
      <c r="F149">
        <v>34857</v>
      </c>
    </row>
    <row r="150" spans="1:6" x14ac:dyDescent="0.35">
      <c r="A150" t="s">
        <v>1419</v>
      </c>
      <c r="B150" t="s">
        <v>1420</v>
      </c>
      <c r="C150">
        <v>2</v>
      </c>
      <c r="D150" t="s">
        <v>5</v>
      </c>
      <c r="E150">
        <v>16371.5</v>
      </c>
      <c r="F150">
        <v>32743</v>
      </c>
    </row>
    <row r="151" spans="1:6" x14ac:dyDescent="0.35">
      <c r="A151" t="s">
        <v>1421</v>
      </c>
      <c r="B151" t="s">
        <v>1422</v>
      </c>
      <c r="C151">
        <v>22</v>
      </c>
      <c r="D151" t="s">
        <v>2</v>
      </c>
      <c r="E151">
        <v>1484.090909090909</v>
      </c>
      <c r="F151">
        <v>32650</v>
      </c>
    </row>
    <row r="152" spans="1:6" x14ac:dyDescent="0.35">
      <c r="A152" t="s">
        <v>1423</v>
      </c>
      <c r="B152" t="s">
        <v>1424</v>
      </c>
      <c r="C152">
        <v>2</v>
      </c>
      <c r="D152" t="s">
        <v>5</v>
      </c>
      <c r="E152">
        <v>15610.375</v>
      </c>
      <c r="F152">
        <v>31220.75</v>
      </c>
    </row>
    <row r="153" spans="1:6" x14ac:dyDescent="0.35">
      <c r="A153" t="s">
        <v>1425</v>
      </c>
      <c r="B153" t="s">
        <v>1426</v>
      </c>
      <c r="C153">
        <v>7</v>
      </c>
      <c r="D153" t="s">
        <v>2</v>
      </c>
      <c r="E153">
        <v>4255.8571428571431</v>
      </c>
      <c r="F153">
        <v>29791</v>
      </c>
    </row>
    <row r="154" spans="1:6" x14ac:dyDescent="0.35">
      <c r="A154" t="s">
        <v>1427</v>
      </c>
      <c r="B154" t="s">
        <v>1354</v>
      </c>
      <c r="C154">
        <v>3</v>
      </c>
      <c r="D154" t="s">
        <v>2</v>
      </c>
      <c r="E154">
        <v>9291.2999999999993</v>
      </c>
      <c r="F154">
        <v>27873.9</v>
      </c>
    </row>
    <row r="155" spans="1:6" x14ac:dyDescent="0.35">
      <c r="A155" t="s">
        <v>1428</v>
      </c>
      <c r="B155" t="s">
        <v>1429</v>
      </c>
      <c r="C155">
        <v>11</v>
      </c>
      <c r="D155" t="s">
        <v>5</v>
      </c>
      <c r="E155">
        <v>2507.272727272727</v>
      </c>
      <c r="F155">
        <v>27580</v>
      </c>
    </row>
    <row r="156" spans="1:6" x14ac:dyDescent="0.35">
      <c r="A156" t="s">
        <v>1430</v>
      </c>
      <c r="B156" t="s">
        <v>1431</v>
      </c>
      <c r="C156">
        <v>14</v>
      </c>
      <c r="D156" t="s">
        <v>2</v>
      </c>
      <c r="E156">
        <v>1917.1428571428571</v>
      </c>
      <c r="F156">
        <v>26840</v>
      </c>
    </row>
    <row r="157" spans="1:6" x14ac:dyDescent="0.35">
      <c r="A157" t="s">
        <v>1432</v>
      </c>
      <c r="B157" t="s">
        <v>1433</v>
      </c>
      <c r="C157">
        <v>2</v>
      </c>
      <c r="D157" t="s">
        <v>2</v>
      </c>
      <c r="E157">
        <v>12467</v>
      </c>
      <c r="F157">
        <v>24934</v>
      </c>
    </row>
    <row r="158" spans="1:6" x14ac:dyDescent="0.35">
      <c r="A158" t="s">
        <v>1434</v>
      </c>
      <c r="B158" t="s">
        <v>1435</v>
      </c>
      <c r="C158">
        <v>2</v>
      </c>
      <c r="D158" t="s">
        <v>5</v>
      </c>
      <c r="E158">
        <v>12432.5</v>
      </c>
      <c r="F158">
        <v>24865</v>
      </c>
    </row>
    <row r="159" spans="1:6" x14ac:dyDescent="0.35">
      <c r="A159" t="s">
        <v>1436</v>
      </c>
      <c r="B159" t="s">
        <v>1437</v>
      </c>
      <c r="C159">
        <v>1</v>
      </c>
      <c r="D159" t="s">
        <v>2</v>
      </c>
      <c r="E159">
        <v>24588</v>
      </c>
      <c r="F159">
        <v>24588</v>
      </c>
    </row>
    <row r="160" spans="1:6" x14ac:dyDescent="0.35">
      <c r="A160" t="s">
        <v>1438</v>
      </c>
      <c r="B160" t="s">
        <v>1439</v>
      </c>
      <c r="C160">
        <v>4</v>
      </c>
      <c r="D160" t="s">
        <v>5</v>
      </c>
      <c r="E160">
        <v>5953.8</v>
      </c>
      <c r="F160">
        <v>23815.200000000001</v>
      </c>
    </row>
    <row r="161" spans="1:6" x14ac:dyDescent="0.35">
      <c r="A161" t="s">
        <v>1440</v>
      </c>
      <c r="B161" t="s">
        <v>1441</v>
      </c>
      <c r="C161">
        <v>3</v>
      </c>
      <c r="D161" t="s">
        <v>2</v>
      </c>
      <c r="E161">
        <v>7521.666666666667</v>
      </c>
      <c r="F161">
        <v>22565</v>
      </c>
    </row>
    <row r="162" spans="1:6" x14ac:dyDescent="0.35">
      <c r="A162" t="s">
        <v>1442</v>
      </c>
      <c r="B162" t="s">
        <v>1443</v>
      </c>
      <c r="C162">
        <v>1</v>
      </c>
      <c r="D162" t="s">
        <v>5</v>
      </c>
      <c r="E162">
        <v>21412</v>
      </c>
      <c r="F162">
        <v>21412</v>
      </c>
    </row>
    <row r="163" spans="1:6" x14ac:dyDescent="0.35">
      <c r="A163" t="s">
        <v>1444</v>
      </c>
      <c r="B163" t="s">
        <v>1445</v>
      </c>
      <c r="C163">
        <v>3</v>
      </c>
      <c r="D163" t="s">
        <v>2</v>
      </c>
      <c r="E163">
        <v>7096</v>
      </c>
      <c r="F163">
        <v>21288</v>
      </c>
    </row>
    <row r="164" spans="1:6" x14ac:dyDescent="0.35">
      <c r="A164" t="s">
        <v>1446</v>
      </c>
      <c r="B164" t="s">
        <v>1447</v>
      </c>
      <c r="C164">
        <v>2</v>
      </c>
      <c r="D164" t="s">
        <v>5</v>
      </c>
      <c r="E164">
        <v>10571.5</v>
      </c>
      <c r="F164">
        <v>21143</v>
      </c>
    </row>
    <row r="165" spans="1:6" x14ac:dyDescent="0.35">
      <c r="A165" t="s">
        <v>1448</v>
      </c>
      <c r="B165" t="s">
        <v>1449</v>
      </c>
      <c r="C165">
        <v>20</v>
      </c>
      <c r="D165" t="s">
        <v>5</v>
      </c>
      <c r="E165">
        <v>1040.5999999999999</v>
      </c>
      <c r="F165">
        <v>20812</v>
      </c>
    </row>
    <row r="166" spans="1:6" x14ac:dyDescent="0.35">
      <c r="A166" t="s">
        <v>1450</v>
      </c>
      <c r="B166" t="s">
        <v>1451</v>
      </c>
      <c r="C166">
        <v>40</v>
      </c>
      <c r="D166" t="s">
        <v>2</v>
      </c>
      <c r="E166">
        <v>517.70000000000005</v>
      </c>
      <c r="F166">
        <v>20708</v>
      </c>
    </row>
    <row r="167" spans="1:6" x14ac:dyDescent="0.35">
      <c r="A167" t="s">
        <v>1452</v>
      </c>
      <c r="B167" t="s">
        <v>1453</v>
      </c>
      <c r="C167">
        <v>10</v>
      </c>
      <c r="D167" t="s">
        <v>2</v>
      </c>
      <c r="E167">
        <v>2021</v>
      </c>
      <c r="F167">
        <v>20210</v>
      </c>
    </row>
    <row r="168" spans="1:6" x14ac:dyDescent="0.35">
      <c r="A168" t="s">
        <v>1454</v>
      </c>
      <c r="B168" t="s">
        <v>1455</v>
      </c>
      <c r="C168">
        <v>10</v>
      </c>
      <c r="D168" t="s">
        <v>2</v>
      </c>
      <c r="E168">
        <v>2021</v>
      </c>
      <c r="F168">
        <v>20210</v>
      </c>
    </row>
    <row r="169" spans="1:6" x14ac:dyDescent="0.35">
      <c r="A169" t="s">
        <v>1456</v>
      </c>
      <c r="B169" t="s">
        <v>1457</v>
      </c>
      <c r="C169">
        <v>30</v>
      </c>
      <c r="D169" t="s">
        <v>2</v>
      </c>
      <c r="E169">
        <v>669.6</v>
      </c>
      <c r="F169">
        <v>20088</v>
      </c>
    </row>
    <row r="170" spans="1:6" x14ac:dyDescent="0.35">
      <c r="A170" t="s">
        <v>1458</v>
      </c>
      <c r="B170" t="s">
        <v>1459</v>
      </c>
      <c r="C170">
        <v>15</v>
      </c>
      <c r="D170" t="s">
        <v>2</v>
      </c>
      <c r="E170">
        <v>1295.5333333333331</v>
      </c>
      <c r="F170">
        <v>19433</v>
      </c>
    </row>
    <row r="171" spans="1:6" x14ac:dyDescent="0.35">
      <c r="A171" t="s">
        <v>1460</v>
      </c>
      <c r="B171" t="s">
        <v>1461</v>
      </c>
      <c r="C171">
        <v>10</v>
      </c>
      <c r="D171" t="s">
        <v>5</v>
      </c>
      <c r="E171">
        <v>1793.5</v>
      </c>
      <c r="F171">
        <v>17935</v>
      </c>
    </row>
    <row r="172" spans="1:6" x14ac:dyDescent="0.35">
      <c r="A172" t="s">
        <v>1462</v>
      </c>
      <c r="B172" t="s">
        <v>1463</v>
      </c>
      <c r="C172">
        <v>1</v>
      </c>
      <c r="D172" t="s">
        <v>5</v>
      </c>
      <c r="E172">
        <v>17600</v>
      </c>
      <c r="F172">
        <v>17600</v>
      </c>
    </row>
    <row r="173" spans="1:6" x14ac:dyDescent="0.35">
      <c r="A173" t="s">
        <v>1464</v>
      </c>
      <c r="B173" t="s">
        <v>1465</v>
      </c>
      <c r="C173">
        <v>30</v>
      </c>
      <c r="D173" t="s">
        <v>5</v>
      </c>
      <c r="E173">
        <v>584.0333333333333</v>
      </c>
      <c r="F173">
        <v>17521</v>
      </c>
    </row>
    <row r="174" spans="1:6" x14ac:dyDescent="0.35">
      <c r="A174" t="s">
        <v>1466</v>
      </c>
      <c r="B174" t="s">
        <v>1467</v>
      </c>
      <c r="C174">
        <v>2</v>
      </c>
      <c r="D174" t="s">
        <v>2</v>
      </c>
      <c r="E174">
        <v>8582.5</v>
      </c>
      <c r="F174">
        <v>17165</v>
      </c>
    </row>
    <row r="175" spans="1:6" x14ac:dyDescent="0.35">
      <c r="A175" t="s">
        <v>1468</v>
      </c>
      <c r="B175" t="s">
        <v>1469</v>
      </c>
      <c r="C175">
        <v>62</v>
      </c>
      <c r="D175" t="s">
        <v>2</v>
      </c>
      <c r="E175">
        <v>273.5</v>
      </c>
      <c r="F175">
        <v>16957</v>
      </c>
    </row>
    <row r="176" spans="1:6" x14ac:dyDescent="0.35">
      <c r="A176" t="s">
        <v>1470</v>
      </c>
      <c r="B176" t="s">
        <v>1471</v>
      </c>
      <c r="C176">
        <v>4</v>
      </c>
      <c r="D176" t="s">
        <v>5</v>
      </c>
      <c r="E176">
        <v>3951.25</v>
      </c>
      <c r="F176">
        <v>15805</v>
      </c>
    </row>
    <row r="177" spans="1:6" x14ac:dyDescent="0.35">
      <c r="A177" t="s">
        <v>1472</v>
      </c>
      <c r="B177" t="s">
        <v>1473</v>
      </c>
      <c r="C177">
        <v>2</v>
      </c>
      <c r="D177" t="s">
        <v>5</v>
      </c>
      <c r="E177">
        <v>7589</v>
      </c>
      <c r="F177">
        <v>15178</v>
      </c>
    </row>
    <row r="178" spans="1:6" x14ac:dyDescent="0.35">
      <c r="A178" t="s">
        <v>1474</v>
      </c>
      <c r="B178" t="s">
        <v>1475</v>
      </c>
      <c r="C178">
        <v>4</v>
      </c>
      <c r="D178" t="s">
        <v>5</v>
      </c>
      <c r="E178">
        <v>3749.75</v>
      </c>
      <c r="F178">
        <v>14999</v>
      </c>
    </row>
    <row r="179" spans="1:6" x14ac:dyDescent="0.35">
      <c r="A179" t="s">
        <v>1476</v>
      </c>
      <c r="B179" t="s">
        <v>1477</v>
      </c>
      <c r="C179">
        <v>24</v>
      </c>
      <c r="D179" t="s">
        <v>2</v>
      </c>
      <c r="E179">
        <v>609.33333333333337</v>
      </c>
      <c r="F179">
        <v>14624</v>
      </c>
    </row>
    <row r="180" spans="1:6" x14ac:dyDescent="0.35">
      <c r="A180" t="s">
        <v>1478</v>
      </c>
      <c r="B180" t="s">
        <v>1479</v>
      </c>
      <c r="C180">
        <v>4</v>
      </c>
      <c r="D180" t="s">
        <v>2</v>
      </c>
      <c r="E180">
        <v>3654.5</v>
      </c>
      <c r="F180">
        <v>14618</v>
      </c>
    </row>
    <row r="181" spans="1:6" x14ac:dyDescent="0.35">
      <c r="A181" t="s">
        <v>1480</v>
      </c>
      <c r="B181" t="s">
        <v>1481</v>
      </c>
      <c r="C181">
        <v>2</v>
      </c>
      <c r="D181" t="s">
        <v>5</v>
      </c>
      <c r="E181">
        <v>7242.5</v>
      </c>
      <c r="F181">
        <v>14485</v>
      </c>
    </row>
    <row r="182" spans="1:6" x14ac:dyDescent="0.35">
      <c r="A182" t="s">
        <v>1482</v>
      </c>
      <c r="B182" t="s">
        <v>1483</v>
      </c>
      <c r="C182">
        <v>3</v>
      </c>
      <c r="D182" t="s">
        <v>5</v>
      </c>
      <c r="E182">
        <v>4746</v>
      </c>
      <c r="F182">
        <v>14238</v>
      </c>
    </row>
    <row r="183" spans="1:6" x14ac:dyDescent="0.35">
      <c r="A183" t="s">
        <v>1484</v>
      </c>
      <c r="B183" t="s">
        <v>1485</v>
      </c>
      <c r="C183">
        <v>10</v>
      </c>
      <c r="D183" t="s">
        <v>2</v>
      </c>
      <c r="E183">
        <v>1367.1</v>
      </c>
      <c r="F183">
        <v>13671</v>
      </c>
    </row>
    <row r="184" spans="1:6" x14ac:dyDescent="0.35">
      <c r="A184" t="s">
        <v>1486</v>
      </c>
      <c r="B184" t="s">
        <v>1487</v>
      </c>
      <c r="C184">
        <v>24</v>
      </c>
      <c r="D184" t="s">
        <v>2</v>
      </c>
      <c r="E184">
        <v>561.58333333333337</v>
      </c>
      <c r="F184">
        <v>13478</v>
      </c>
    </row>
    <row r="185" spans="1:6" x14ac:dyDescent="0.35">
      <c r="A185" t="s">
        <v>1488</v>
      </c>
      <c r="B185" t="s">
        <v>1489</v>
      </c>
      <c r="C185">
        <v>20</v>
      </c>
      <c r="D185" t="s">
        <v>2</v>
      </c>
      <c r="E185">
        <v>669.6</v>
      </c>
      <c r="F185">
        <v>13392</v>
      </c>
    </row>
    <row r="186" spans="1:6" x14ac:dyDescent="0.35">
      <c r="A186" t="s">
        <v>1490</v>
      </c>
      <c r="B186" t="s">
        <v>1491</v>
      </c>
      <c r="C186">
        <v>20</v>
      </c>
      <c r="D186" t="s">
        <v>5</v>
      </c>
      <c r="E186">
        <v>669.6</v>
      </c>
      <c r="F186">
        <v>13392</v>
      </c>
    </row>
    <row r="187" spans="1:6" x14ac:dyDescent="0.35">
      <c r="A187" t="s">
        <v>1492</v>
      </c>
      <c r="B187" t="s">
        <v>1493</v>
      </c>
      <c r="C187">
        <v>6</v>
      </c>
      <c r="D187" t="s">
        <v>5</v>
      </c>
      <c r="E187">
        <v>2226.166666666667</v>
      </c>
      <c r="F187">
        <v>13357</v>
      </c>
    </row>
    <row r="188" spans="1:6" x14ac:dyDescent="0.35">
      <c r="A188" t="s">
        <v>1494</v>
      </c>
      <c r="B188" t="s">
        <v>1495</v>
      </c>
      <c r="C188">
        <v>10</v>
      </c>
      <c r="D188" t="s">
        <v>2</v>
      </c>
      <c r="E188">
        <v>1318.2</v>
      </c>
      <c r="F188">
        <v>13182</v>
      </c>
    </row>
    <row r="189" spans="1:6" x14ac:dyDescent="0.35">
      <c r="A189" t="s">
        <v>1496</v>
      </c>
      <c r="B189" t="s">
        <v>1497</v>
      </c>
      <c r="C189">
        <v>1</v>
      </c>
      <c r="D189" t="s">
        <v>2</v>
      </c>
      <c r="E189">
        <v>13032</v>
      </c>
      <c r="F189">
        <v>13032</v>
      </c>
    </row>
    <row r="190" spans="1:6" x14ac:dyDescent="0.35">
      <c r="A190" t="s">
        <v>1498</v>
      </c>
      <c r="B190" t="s">
        <v>1499</v>
      </c>
      <c r="C190">
        <v>1</v>
      </c>
      <c r="D190" t="s">
        <v>5</v>
      </c>
      <c r="E190">
        <v>12641</v>
      </c>
      <c r="F190">
        <v>12641</v>
      </c>
    </row>
    <row r="191" spans="1:6" x14ac:dyDescent="0.35">
      <c r="A191" t="s">
        <v>1500</v>
      </c>
      <c r="B191" t="s">
        <v>1501</v>
      </c>
      <c r="C191">
        <v>7</v>
      </c>
      <c r="D191" t="s">
        <v>5</v>
      </c>
      <c r="E191">
        <v>1793.5714285714289</v>
      </c>
      <c r="F191">
        <v>12555</v>
      </c>
    </row>
    <row r="192" spans="1:6" x14ac:dyDescent="0.35">
      <c r="A192" t="s">
        <v>1502</v>
      </c>
      <c r="B192" t="s">
        <v>1503</v>
      </c>
      <c r="C192">
        <v>20</v>
      </c>
      <c r="D192" t="s">
        <v>2</v>
      </c>
      <c r="E192">
        <v>625.93333333333328</v>
      </c>
      <c r="F192">
        <v>12518.66666666667</v>
      </c>
    </row>
    <row r="193" spans="1:6" x14ac:dyDescent="0.35">
      <c r="A193" t="s">
        <v>1504</v>
      </c>
      <c r="B193" t="s">
        <v>1505</v>
      </c>
      <c r="C193">
        <v>4</v>
      </c>
      <c r="D193" t="s">
        <v>5</v>
      </c>
      <c r="E193">
        <v>3048.5</v>
      </c>
      <c r="F193">
        <v>12194</v>
      </c>
    </row>
    <row r="194" spans="1:6" x14ac:dyDescent="0.35">
      <c r="A194" t="s">
        <v>1506</v>
      </c>
      <c r="B194" t="s">
        <v>1507</v>
      </c>
      <c r="C194">
        <v>20</v>
      </c>
      <c r="D194" t="s">
        <v>2</v>
      </c>
      <c r="E194">
        <v>603.25</v>
      </c>
      <c r="F194">
        <v>12065</v>
      </c>
    </row>
    <row r="195" spans="1:6" x14ac:dyDescent="0.35">
      <c r="A195" t="s">
        <v>1508</v>
      </c>
      <c r="B195" t="s">
        <v>1509</v>
      </c>
      <c r="C195">
        <v>1</v>
      </c>
      <c r="D195" t="s">
        <v>5</v>
      </c>
      <c r="E195">
        <v>11874</v>
      </c>
      <c r="F195">
        <v>11874</v>
      </c>
    </row>
    <row r="196" spans="1:6" x14ac:dyDescent="0.35">
      <c r="A196" t="s">
        <v>1510</v>
      </c>
      <c r="B196" t="s">
        <v>1511</v>
      </c>
      <c r="C196">
        <v>1</v>
      </c>
      <c r="D196" t="s">
        <v>5</v>
      </c>
      <c r="E196">
        <v>11866</v>
      </c>
      <c r="F196">
        <v>11866</v>
      </c>
    </row>
    <row r="197" spans="1:6" x14ac:dyDescent="0.35">
      <c r="A197" t="s">
        <v>1512</v>
      </c>
      <c r="B197" t="s">
        <v>1513</v>
      </c>
      <c r="C197">
        <v>16</v>
      </c>
      <c r="D197" t="s">
        <v>2</v>
      </c>
      <c r="E197">
        <v>714.1</v>
      </c>
      <c r="F197">
        <v>11425.6</v>
      </c>
    </row>
    <row r="198" spans="1:6" x14ac:dyDescent="0.35">
      <c r="A198" t="s">
        <v>1514</v>
      </c>
      <c r="B198" t="s">
        <v>1515</v>
      </c>
      <c r="C198">
        <v>10</v>
      </c>
      <c r="D198" t="s">
        <v>2</v>
      </c>
      <c r="E198">
        <v>1134.9000000000001</v>
      </c>
      <c r="F198">
        <v>11349</v>
      </c>
    </row>
    <row r="199" spans="1:6" x14ac:dyDescent="0.35">
      <c r="A199" t="s">
        <v>1516</v>
      </c>
      <c r="B199" t="s">
        <v>1517</v>
      </c>
      <c r="C199">
        <v>10</v>
      </c>
      <c r="D199" t="s">
        <v>2</v>
      </c>
      <c r="E199">
        <v>1124.4000000000001</v>
      </c>
      <c r="F199">
        <v>11244</v>
      </c>
    </row>
    <row r="200" spans="1:6" x14ac:dyDescent="0.35">
      <c r="A200" t="s">
        <v>1518</v>
      </c>
      <c r="B200" t="s">
        <v>1519</v>
      </c>
      <c r="C200">
        <v>20</v>
      </c>
      <c r="D200" t="s">
        <v>2</v>
      </c>
      <c r="E200">
        <v>552.6</v>
      </c>
      <c r="F200">
        <v>11052</v>
      </c>
    </row>
    <row r="201" spans="1:6" x14ac:dyDescent="0.35">
      <c r="A201" t="s">
        <v>1520</v>
      </c>
      <c r="B201" t="s">
        <v>1521</v>
      </c>
      <c r="C201">
        <v>2</v>
      </c>
      <c r="D201" t="s">
        <v>2</v>
      </c>
      <c r="E201">
        <v>5445</v>
      </c>
      <c r="F201">
        <v>10890</v>
      </c>
    </row>
    <row r="202" spans="1:6" x14ac:dyDescent="0.35">
      <c r="A202" t="s">
        <v>1522</v>
      </c>
      <c r="B202" t="s">
        <v>1523</v>
      </c>
      <c r="C202">
        <v>1</v>
      </c>
      <c r="D202" t="s">
        <v>2</v>
      </c>
      <c r="E202">
        <v>10645</v>
      </c>
      <c r="F202">
        <v>10645</v>
      </c>
    </row>
    <row r="203" spans="1:6" x14ac:dyDescent="0.35">
      <c r="A203" t="s">
        <v>1524</v>
      </c>
      <c r="B203" t="s">
        <v>1525</v>
      </c>
      <c r="C203">
        <v>48</v>
      </c>
      <c r="D203" t="s">
        <v>5</v>
      </c>
      <c r="E203">
        <v>209.52083333333329</v>
      </c>
      <c r="F203">
        <v>10057</v>
      </c>
    </row>
    <row r="204" spans="1:6" x14ac:dyDescent="0.35">
      <c r="A204" t="s">
        <v>1526</v>
      </c>
      <c r="B204" t="s">
        <v>1527</v>
      </c>
      <c r="C204">
        <v>10</v>
      </c>
      <c r="D204" t="s">
        <v>2</v>
      </c>
      <c r="E204">
        <v>952.4</v>
      </c>
      <c r="F204">
        <v>9524</v>
      </c>
    </row>
    <row r="205" spans="1:6" x14ac:dyDescent="0.35">
      <c r="A205" t="s">
        <v>1528</v>
      </c>
      <c r="B205" t="s">
        <v>1529</v>
      </c>
      <c r="C205">
        <v>12</v>
      </c>
      <c r="D205" t="s">
        <v>2</v>
      </c>
      <c r="E205">
        <v>763</v>
      </c>
      <c r="F205">
        <v>9156</v>
      </c>
    </row>
    <row r="206" spans="1:6" x14ac:dyDescent="0.35">
      <c r="A206" t="s">
        <v>1530</v>
      </c>
      <c r="B206" t="s">
        <v>1531</v>
      </c>
      <c r="C206">
        <v>10</v>
      </c>
      <c r="D206" t="s">
        <v>5</v>
      </c>
      <c r="E206">
        <v>907.9</v>
      </c>
      <c r="F206">
        <v>9079</v>
      </c>
    </row>
    <row r="207" spans="1:6" x14ac:dyDescent="0.35">
      <c r="A207" t="s">
        <v>1532</v>
      </c>
      <c r="B207" t="s">
        <v>1533</v>
      </c>
      <c r="C207">
        <v>10</v>
      </c>
      <c r="D207" t="s">
        <v>5</v>
      </c>
      <c r="E207">
        <v>902.7</v>
      </c>
      <c r="F207">
        <v>9027</v>
      </c>
    </row>
    <row r="208" spans="1:6" x14ac:dyDescent="0.35">
      <c r="A208" t="s">
        <v>1534</v>
      </c>
      <c r="B208" t="s">
        <v>1535</v>
      </c>
      <c r="C208">
        <v>20</v>
      </c>
      <c r="D208" t="s">
        <v>2</v>
      </c>
      <c r="E208">
        <v>448.7</v>
      </c>
      <c r="F208">
        <v>8974</v>
      </c>
    </row>
    <row r="209" spans="1:6" x14ac:dyDescent="0.35">
      <c r="A209" t="s">
        <v>1536</v>
      </c>
      <c r="B209" t="s">
        <v>1537</v>
      </c>
      <c r="C209">
        <v>1</v>
      </c>
      <c r="D209" t="s">
        <v>5</v>
      </c>
      <c r="E209">
        <v>8870</v>
      </c>
      <c r="F209">
        <v>8870</v>
      </c>
    </row>
    <row r="210" spans="1:6" x14ac:dyDescent="0.35">
      <c r="A210" t="s">
        <v>1536</v>
      </c>
      <c r="B210" t="s">
        <v>1537</v>
      </c>
      <c r="C210">
        <v>1</v>
      </c>
      <c r="D210" t="s">
        <v>5</v>
      </c>
      <c r="E210">
        <v>8870</v>
      </c>
      <c r="F210">
        <v>8870</v>
      </c>
    </row>
    <row r="211" spans="1:6" x14ac:dyDescent="0.35">
      <c r="A211" t="s">
        <v>1538</v>
      </c>
      <c r="B211" t="s">
        <v>1539</v>
      </c>
      <c r="C211">
        <v>10</v>
      </c>
      <c r="D211" t="s">
        <v>2</v>
      </c>
      <c r="E211">
        <v>841.6</v>
      </c>
      <c r="F211">
        <v>8416</v>
      </c>
    </row>
    <row r="212" spans="1:6" x14ac:dyDescent="0.35">
      <c r="A212" t="s">
        <v>1540</v>
      </c>
      <c r="B212" t="s">
        <v>1541</v>
      </c>
      <c r="C212">
        <v>6</v>
      </c>
      <c r="D212" t="s">
        <v>2</v>
      </c>
      <c r="E212">
        <v>1402</v>
      </c>
      <c r="F212">
        <v>8412</v>
      </c>
    </row>
    <row r="213" spans="1:6" x14ac:dyDescent="0.35">
      <c r="A213" t="s">
        <v>1542</v>
      </c>
      <c r="B213" t="s">
        <v>1543</v>
      </c>
      <c r="C213">
        <v>2</v>
      </c>
      <c r="D213" t="s">
        <v>5</v>
      </c>
      <c r="E213">
        <v>4161.5</v>
      </c>
      <c r="F213">
        <v>8323</v>
      </c>
    </row>
    <row r="214" spans="1:6" x14ac:dyDescent="0.35">
      <c r="A214" t="s">
        <v>1544</v>
      </c>
      <c r="B214" t="s">
        <v>1545</v>
      </c>
      <c r="C214">
        <v>10</v>
      </c>
      <c r="D214" t="s">
        <v>2</v>
      </c>
      <c r="E214">
        <v>825</v>
      </c>
      <c r="F214">
        <v>8250</v>
      </c>
    </row>
    <row r="215" spans="1:6" x14ac:dyDescent="0.35">
      <c r="A215" t="s">
        <v>1546</v>
      </c>
      <c r="B215" t="s">
        <v>1547</v>
      </c>
      <c r="C215">
        <v>17</v>
      </c>
      <c r="D215" t="s">
        <v>2</v>
      </c>
      <c r="E215">
        <v>462.47058823529409</v>
      </c>
      <c r="F215">
        <v>7862</v>
      </c>
    </row>
    <row r="216" spans="1:6" x14ac:dyDescent="0.35">
      <c r="A216" t="s">
        <v>1548</v>
      </c>
      <c r="B216" t="s">
        <v>1549</v>
      </c>
      <c r="C216">
        <v>3</v>
      </c>
      <c r="D216" t="s">
        <v>5</v>
      </c>
      <c r="E216">
        <v>2507.333333333333</v>
      </c>
      <c r="F216">
        <v>7522</v>
      </c>
    </row>
    <row r="217" spans="1:6" x14ac:dyDescent="0.35">
      <c r="A217" t="s">
        <v>1550</v>
      </c>
      <c r="B217" t="s">
        <v>1551</v>
      </c>
      <c r="C217">
        <v>4</v>
      </c>
      <c r="D217" t="s">
        <v>2</v>
      </c>
      <c r="E217">
        <v>1871.75</v>
      </c>
      <c r="F217">
        <v>7487</v>
      </c>
    </row>
    <row r="218" spans="1:6" x14ac:dyDescent="0.35">
      <c r="A218" t="s">
        <v>1552</v>
      </c>
      <c r="B218" t="s">
        <v>1553</v>
      </c>
      <c r="C218">
        <v>30</v>
      </c>
      <c r="D218" t="s">
        <v>2</v>
      </c>
      <c r="E218">
        <v>238.33333333333329</v>
      </c>
      <c r="F218">
        <v>7150</v>
      </c>
    </row>
    <row r="219" spans="1:6" x14ac:dyDescent="0.35">
      <c r="A219" t="s">
        <v>1554</v>
      </c>
      <c r="B219" t="s">
        <v>1555</v>
      </c>
      <c r="C219">
        <v>10</v>
      </c>
      <c r="D219" t="s">
        <v>2</v>
      </c>
      <c r="E219">
        <v>697.5</v>
      </c>
      <c r="F219">
        <v>6975</v>
      </c>
    </row>
    <row r="220" spans="1:6" x14ac:dyDescent="0.35">
      <c r="A220" t="s">
        <v>1556</v>
      </c>
      <c r="B220" t="s">
        <v>1557</v>
      </c>
      <c r="C220">
        <v>9</v>
      </c>
      <c r="D220" t="s">
        <v>5</v>
      </c>
      <c r="E220">
        <v>758.66666666666663</v>
      </c>
      <c r="F220">
        <v>6828</v>
      </c>
    </row>
    <row r="221" spans="1:6" x14ac:dyDescent="0.35">
      <c r="A221" t="s">
        <v>1558</v>
      </c>
      <c r="B221" t="s">
        <v>1559</v>
      </c>
      <c r="C221">
        <v>14</v>
      </c>
      <c r="D221" t="s">
        <v>5</v>
      </c>
      <c r="E221">
        <v>475.78571428571428</v>
      </c>
      <c r="F221">
        <v>6661</v>
      </c>
    </row>
    <row r="222" spans="1:6" x14ac:dyDescent="0.35">
      <c r="A222" t="s">
        <v>1560</v>
      </c>
      <c r="B222" t="s">
        <v>1561</v>
      </c>
      <c r="C222">
        <v>5</v>
      </c>
      <c r="D222" t="s">
        <v>2</v>
      </c>
      <c r="E222">
        <v>1318.2</v>
      </c>
      <c r="F222">
        <v>6591</v>
      </c>
    </row>
    <row r="223" spans="1:6" x14ac:dyDescent="0.35">
      <c r="A223" t="s">
        <v>1562</v>
      </c>
      <c r="B223" t="s">
        <v>1563</v>
      </c>
      <c r="C223">
        <v>10</v>
      </c>
      <c r="D223" t="s">
        <v>2</v>
      </c>
      <c r="E223">
        <v>649.20000000000005</v>
      </c>
      <c r="F223">
        <v>6492</v>
      </c>
    </row>
    <row r="224" spans="1:6" x14ac:dyDescent="0.35">
      <c r="A224" t="s">
        <v>1564</v>
      </c>
      <c r="B224" t="s">
        <v>1565</v>
      </c>
      <c r="C224">
        <v>2</v>
      </c>
      <c r="D224" t="s">
        <v>5</v>
      </c>
      <c r="E224">
        <v>3048</v>
      </c>
      <c r="F224">
        <v>6096</v>
      </c>
    </row>
    <row r="225" spans="1:6" x14ac:dyDescent="0.35">
      <c r="A225" t="s">
        <v>1566</v>
      </c>
      <c r="B225" t="s">
        <v>1567</v>
      </c>
      <c r="C225">
        <v>7</v>
      </c>
      <c r="D225" t="s">
        <v>2</v>
      </c>
      <c r="E225">
        <v>865.1</v>
      </c>
      <c r="F225">
        <v>6055.7</v>
      </c>
    </row>
    <row r="226" spans="1:6" x14ac:dyDescent="0.35">
      <c r="A226" t="s">
        <v>1568</v>
      </c>
      <c r="B226" t="s">
        <v>1569</v>
      </c>
      <c r="C226">
        <v>31</v>
      </c>
      <c r="D226" t="s">
        <v>2</v>
      </c>
      <c r="E226">
        <v>188.58064516129031</v>
      </c>
      <c r="F226">
        <v>5846</v>
      </c>
    </row>
    <row r="227" spans="1:6" x14ac:dyDescent="0.35">
      <c r="A227" t="s">
        <v>1570</v>
      </c>
      <c r="B227" t="s">
        <v>1571</v>
      </c>
      <c r="C227">
        <v>2</v>
      </c>
      <c r="D227" t="s">
        <v>2</v>
      </c>
      <c r="E227">
        <v>2791</v>
      </c>
      <c r="F227">
        <v>5582</v>
      </c>
    </row>
    <row r="228" spans="1:6" x14ac:dyDescent="0.35">
      <c r="A228" t="s">
        <v>1572</v>
      </c>
      <c r="B228" t="s">
        <v>1573</v>
      </c>
      <c r="C228">
        <v>6</v>
      </c>
      <c r="D228" t="s">
        <v>5</v>
      </c>
      <c r="E228">
        <v>924.5</v>
      </c>
      <c r="F228">
        <v>5547</v>
      </c>
    </row>
    <row r="229" spans="1:6" x14ac:dyDescent="0.35">
      <c r="A229" t="s">
        <v>1574</v>
      </c>
      <c r="B229" t="s">
        <v>1575</v>
      </c>
      <c r="C229">
        <v>5</v>
      </c>
      <c r="D229" t="s">
        <v>5</v>
      </c>
      <c r="E229">
        <v>1068.5999999999999</v>
      </c>
      <c r="F229">
        <v>5343</v>
      </c>
    </row>
    <row r="230" spans="1:6" x14ac:dyDescent="0.35">
      <c r="A230" t="s">
        <v>1576</v>
      </c>
      <c r="B230" t="s">
        <v>1577</v>
      </c>
      <c r="C230">
        <v>2</v>
      </c>
      <c r="D230" t="s">
        <v>2</v>
      </c>
      <c r="E230">
        <v>2492.5</v>
      </c>
      <c r="F230">
        <v>4985</v>
      </c>
    </row>
    <row r="231" spans="1:6" x14ac:dyDescent="0.35">
      <c r="A231" t="s">
        <v>1578</v>
      </c>
      <c r="B231" t="s">
        <v>1579</v>
      </c>
      <c r="C231">
        <v>100</v>
      </c>
      <c r="D231" t="s">
        <v>5</v>
      </c>
      <c r="E231">
        <v>49.41</v>
      </c>
      <c r="F231">
        <v>4941</v>
      </c>
    </row>
    <row r="232" spans="1:6" x14ac:dyDescent="0.35">
      <c r="A232" t="s">
        <v>1580</v>
      </c>
      <c r="B232" t="s">
        <v>1581</v>
      </c>
      <c r="C232">
        <v>10</v>
      </c>
      <c r="D232" t="s">
        <v>2</v>
      </c>
      <c r="E232">
        <v>490.6</v>
      </c>
      <c r="F232">
        <v>4906</v>
      </c>
    </row>
    <row r="233" spans="1:6" x14ac:dyDescent="0.35">
      <c r="A233" t="s">
        <v>1582</v>
      </c>
      <c r="B233" t="s">
        <v>1583</v>
      </c>
      <c r="C233">
        <v>10</v>
      </c>
      <c r="D233" t="s">
        <v>2</v>
      </c>
      <c r="E233">
        <v>467.1</v>
      </c>
      <c r="F233">
        <v>4671</v>
      </c>
    </row>
    <row r="234" spans="1:6" x14ac:dyDescent="0.35">
      <c r="A234" t="s">
        <v>1584</v>
      </c>
      <c r="B234" t="s">
        <v>1585</v>
      </c>
      <c r="C234">
        <v>30</v>
      </c>
      <c r="D234" t="s">
        <v>5</v>
      </c>
      <c r="E234">
        <v>151.9</v>
      </c>
      <c r="F234">
        <v>4557</v>
      </c>
    </row>
    <row r="235" spans="1:6" x14ac:dyDescent="0.35">
      <c r="A235" t="s">
        <v>1586</v>
      </c>
      <c r="B235" t="s">
        <v>1587</v>
      </c>
      <c r="C235">
        <v>30</v>
      </c>
      <c r="D235" t="s">
        <v>5</v>
      </c>
      <c r="E235">
        <v>144.0333333333333</v>
      </c>
      <c r="F235">
        <v>4321</v>
      </c>
    </row>
    <row r="236" spans="1:6" x14ac:dyDescent="0.35">
      <c r="A236" t="s">
        <v>1588</v>
      </c>
      <c r="B236" t="s">
        <v>1589</v>
      </c>
      <c r="C236">
        <v>1</v>
      </c>
      <c r="D236" t="s">
        <v>5</v>
      </c>
      <c r="E236">
        <v>3716</v>
      </c>
      <c r="F236">
        <v>3716</v>
      </c>
    </row>
    <row r="237" spans="1:6" x14ac:dyDescent="0.35">
      <c r="A237" t="s">
        <v>1590</v>
      </c>
      <c r="B237" t="s">
        <v>1591</v>
      </c>
      <c r="C237">
        <v>2</v>
      </c>
      <c r="D237" t="s">
        <v>2</v>
      </c>
      <c r="E237">
        <v>1849</v>
      </c>
      <c r="F237">
        <v>3698</v>
      </c>
    </row>
    <row r="238" spans="1:6" x14ac:dyDescent="0.35">
      <c r="A238" t="s">
        <v>1592</v>
      </c>
      <c r="B238" t="s">
        <v>1593</v>
      </c>
      <c r="C238">
        <v>4</v>
      </c>
      <c r="D238" t="s">
        <v>2</v>
      </c>
      <c r="E238">
        <v>919.25</v>
      </c>
      <c r="F238">
        <v>3677</v>
      </c>
    </row>
    <row r="239" spans="1:6" x14ac:dyDescent="0.35">
      <c r="A239" t="s">
        <v>1594</v>
      </c>
      <c r="B239" t="s">
        <v>1595</v>
      </c>
      <c r="C239">
        <v>1</v>
      </c>
      <c r="D239" t="s">
        <v>2</v>
      </c>
      <c r="E239">
        <v>3442</v>
      </c>
      <c r="F239">
        <v>3442</v>
      </c>
    </row>
    <row r="240" spans="1:6" x14ac:dyDescent="0.35">
      <c r="A240" t="s">
        <v>1596</v>
      </c>
      <c r="B240" t="s">
        <v>1597</v>
      </c>
      <c r="C240">
        <v>8</v>
      </c>
      <c r="D240" t="s">
        <v>5</v>
      </c>
      <c r="E240">
        <v>371</v>
      </c>
      <c r="F240">
        <v>2968</v>
      </c>
    </row>
    <row r="241" spans="1:6" x14ac:dyDescent="0.35">
      <c r="A241" t="s">
        <v>1598</v>
      </c>
      <c r="B241" t="s">
        <v>1513</v>
      </c>
      <c r="C241">
        <v>4</v>
      </c>
      <c r="D241" t="s">
        <v>2</v>
      </c>
      <c r="E241">
        <v>714.1</v>
      </c>
      <c r="F241">
        <v>2856.4</v>
      </c>
    </row>
    <row r="242" spans="1:6" x14ac:dyDescent="0.35">
      <c r="A242" t="s">
        <v>1599</v>
      </c>
      <c r="B242" t="s">
        <v>1600</v>
      </c>
      <c r="C242">
        <v>6</v>
      </c>
      <c r="D242" t="s">
        <v>2</v>
      </c>
      <c r="E242">
        <v>448.7</v>
      </c>
      <c r="F242">
        <v>2692.2</v>
      </c>
    </row>
    <row r="243" spans="1:6" x14ac:dyDescent="0.35">
      <c r="A243" t="s">
        <v>1601</v>
      </c>
      <c r="B243" t="s">
        <v>1602</v>
      </c>
      <c r="C243">
        <v>6</v>
      </c>
      <c r="D243" t="s">
        <v>5</v>
      </c>
      <c r="E243">
        <v>401.81818181818181</v>
      </c>
      <c r="F243">
        <v>2410.909090909091</v>
      </c>
    </row>
    <row r="244" spans="1:6" x14ac:dyDescent="0.35">
      <c r="A244" t="s">
        <v>1603</v>
      </c>
      <c r="B244" t="s">
        <v>1604</v>
      </c>
      <c r="C244">
        <v>4</v>
      </c>
      <c r="D244" t="s">
        <v>2</v>
      </c>
      <c r="E244">
        <v>588</v>
      </c>
      <c r="F244">
        <v>2352</v>
      </c>
    </row>
    <row r="245" spans="1:6" x14ac:dyDescent="0.35">
      <c r="A245" t="s">
        <v>1605</v>
      </c>
      <c r="B245" t="s">
        <v>1606</v>
      </c>
      <c r="C245">
        <v>2</v>
      </c>
      <c r="D245" t="s">
        <v>5</v>
      </c>
      <c r="E245">
        <v>1152</v>
      </c>
      <c r="F245">
        <v>2304</v>
      </c>
    </row>
    <row r="246" spans="1:6" x14ac:dyDescent="0.35">
      <c r="A246" t="s">
        <v>1607</v>
      </c>
      <c r="B246" t="s">
        <v>1608</v>
      </c>
      <c r="C246">
        <v>6</v>
      </c>
      <c r="D246" t="s">
        <v>5</v>
      </c>
      <c r="E246">
        <v>378</v>
      </c>
      <c r="F246">
        <v>2268</v>
      </c>
    </row>
    <row r="247" spans="1:6" x14ac:dyDescent="0.35">
      <c r="A247" t="s">
        <v>1609</v>
      </c>
      <c r="B247" t="s">
        <v>1610</v>
      </c>
      <c r="C247">
        <v>24</v>
      </c>
      <c r="D247" t="s">
        <v>5</v>
      </c>
      <c r="E247">
        <v>90.791666666666671</v>
      </c>
      <c r="F247">
        <v>2179</v>
      </c>
    </row>
    <row r="248" spans="1:6" x14ac:dyDescent="0.35">
      <c r="A248" t="s">
        <v>1611</v>
      </c>
      <c r="B248" t="s">
        <v>1602</v>
      </c>
      <c r="C248">
        <v>5</v>
      </c>
      <c r="D248" t="s">
        <v>5</v>
      </c>
      <c r="E248">
        <v>401.81818181818181</v>
      </c>
      <c r="F248">
        <v>2009.090909090909</v>
      </c>
    </row>
    <row r="249" spans="1:6" x14ac:dyDescent="0.35">
      <c r="A249" t="s">
        <v>1612</v>
      </c>
      <c r="B249" t="s">
        <v>1613</v>
      </c>
      <c r="C249">
        <v>8</v>
      </c>
      <c r="D249" t="s">
        <v>2</v>
      </c>
      <c r="E249">
        <v>208.625</v>
      </c>
      <c r="F249">
        <v>1669</v>
      </c>
    </row>
    <row r="250" spans="1:6" x14ac:dyDescent="0.35">
      <c r="A250" t="s">
        <v>1614</v>
      </c>
      <c r="B250" t="s">
        <v>1615</v>
      </c>
      <c r="C250">
        <v>400</v>
      </c>
      <c r="D250" t="s">
        <v>5</v>
      </c>
      <c r="E250">
        <v>4.0949999999999998</v>
      </c>
      <c r="F250">
        <v>1638</v>
      </c>
    </row>
    <row r="251" spans="1:6" x14ac:dyDescent="0.35">
      <c r="A251" t="s">
        <v>1616</v>
      </c>
      <c r="B251" t="s">
        <v>1617</v>
      </c>
      <c r="C251">
        <v>48</v>
      </c>
      <c r="D251" t="s">
        <v>5</v>
      </c>
      <c r="E251">
        <v>32.291666666666657</v>
      </c>
      <c r="F251">
        <v>1550</v>
      </c>
    </row>
    <row r="252" spans="1:6" x14ac:dyDescent="0.35">
      <c r="A252" t="s">
        <v>1618</v>
      </c>
      <c r="B252" t="s">
        <v>1619</v>
      </c>
      <c r="C252">
        <v>400</v>
      </c>
      <c r="D252" t="s">
        <v>5</v>
      </c>
      <c r="E252">
        <v>3.605</v>
      </c>
      <c r="F252">
        <v>1442</v>
      </c>
    </row>
    <row r="253" spans="1:6" x14ac:dyDescent="0.35">
      <c r="A253" t="s">
        <v>1620</v>
      </c>
      <c r="B253" t="s">
        <v>1621</v>
      </c>
      <c r="C253">
        <v>2</v>
      </c>
      <c r="D253" t="s">
        <v>5</v>
      </c>
      <c r="E253">
        <v>676.5</v>
      </c>
      <c r="F253">
        <v>1353</v>
      </c>
    </row>
    <row r="254" spans="1:6" x14ac:dyDescent="0.35">
      <c r="A254" t="s">
        <v>1622</v>
      </c>
      <c r="B254" t="s">
        <v>1623</v>
      </c>
      <c r="C254">
        <v>1</v>
      </c>
      <c r="D254" t="s">
        <v>2</v>
      </c>
      <c r="E254">
        <v>1327</v>
      </c>
      <c r="F254">
        <v>1327</v>
      </c>
    </row>
    <row r="255" spans="1:6" x14ac:dyDescent="0.35">
      <c r="A255" t="s">
        <v>1624</v>
      </c>
      <c r="B255" t="s">
        <v>1625</v>
      </c>
      <c r="C255">
        <v>2</v>
      </c>
      <c r="D255" t="s">
        <v>2</v>
      </c>
      <c r="E255">
        <v>559.5</v>
      </c>
      <c r="F255">
        <v>1119</v>
      </c>
    </row>
    <row r="256" spans="1:6" x14ac:dyDescent="0.35">
      <c r="A256" t="s">
        <v>1626</v>
      </c>
      <c r="B256" t="s">
        <v>1627</v>
      </c>
      <c r="C256">
        <v>2</v>
      </c>
      <c r="D256" t="s">
        <v>2</v>
      </c>
      <c r="E256">
        <v>490.5</v>
      </c>
      <c r="F256">
        <v>981</v>
      </c>
    </row>
    <row r="257" spans="1:6" x14ac:dyDescent="0.35">
      <c r="A257" t="s">
        <v>1628</v>
      </c>
      <c r="B257" t="s">
        <v>1629</v>
      </c>
      <c r="C257">
        <v>1</v>
      </c>
      <c r="D257" t="s">
        <v>2</v>
      </c>
      <c r="E257">
        <v>979</v>
      </c>
      <c r="F257">
        <v>979</v>
      </c>
    </row>
    <row r="258" spans="1:6" x14ac:dyDescent="0.35">
      <c r="A258" t="s">
        <v>1630</v>
      </c>
      <c r="B258" t="s">
        <v>1631</v>
      </c>
      <c r="C258">
        <v>2</v>
      </c>
      <c r="D258" t="s">
        <v>2</v>
      </c>
      <c r="E258">
        <v>338.5</v>
      </c>
      <c r="F258">
        <v>677</v>
      </c>
    </row>
    <row r="259" spans="1:6" x14ac:dyDescent="0.35">
      <c r="A259" t="s">
        <v>1632</v>
      </c>
      <c r="B259" t="s">
        <v>1633</v>
      </c>
      <c r="C259">
        <v>48</v>
      </c>
      <c r="D259" t="s">
        <v>5</v>
      </c>
      <c r="E259">
        <v>8.7291666666666661</v>
      </c>
      <c r="F259">
        <v>419</v>
      </c>
    </row>
    <row r="260" spans="1:6" x14ac:dyDescent="0.35">
      <c r="A260" t="s">
        <v>1634</v>
      </c>
      <c r="B260" t="s">
        <v>1635</v>
      </c>
      <c r="C260">
        <v>1</v>
      </c>
      <c r="D260" t="s">
        <v>2</v>
      </c>
      <c r="E260">
        <v>349</v>
      </c>
      <c r="F260">
        <v>349</v>
      </c>
    </row>
    <row r="261" spans="1:6" x14ac:dyDescent="0.35">
      <c r="A261" t="s">
        <v>1636</v>
      </c>
      <c r="B261" t="s">
        <v>1637</v>
      </c>
      <c r="C261">
        <v>48</v>
      </c>
      <c r="D261" t="s">
        <v>5</v>
      </c>
      <c r="E261">
        <v>6.979166666666667</v>
      </c>
      <c r="F261">
        <v>335</v>
      </c>
    </row>
    <row r="262" spans="1:6" x14ac:dyDescent="0.35">
      <c r="A262" t="s">
        <v>1638</v>
      </c>
      <c r="B262" t="s">
        <v>1639</v>
      </c>
      <c r="C262">
        <v>2</v>
      </c>
      <c r="D262" t="s">
        <v>5</v>
      </c>
      <c r="E262">
        <v>98</v>
      </c>
      <c r="F262">
        <v>196</v>
      </c>
    </row>
    <row r="263" spans="1:6" x14ac:dyDescent="0.35">
      <c r="A263" t="s">
        <v>1640</v>
      </c>
      <c r="B263" t="s">
        <v>1641</v>
      </c>
      <c r="C263">
        <v>2</v>
      </c>
      <c r="D263" t="s">
        <v>5</v>
      </c>
      <c r="E263">
        <v>63</v>
      </c>
      <c r="F263">
        <v>126</v>
      </c>
    </row>
    <row r="264" spans="1:6" x14ac:dyDescent="0.35">
      <c r="A264" t="s">
        <v>1642</v>
      </c>
      <c r="B264" t="s">
        <v>1643</v>
      </c>
      <c r="C264">
        <v>6</v>
      </c>
      <c r="D264" t="s">
        <v>2</v>
      </c>
      <c r="E264">
        <v>11.33333333333333</v>
      </c>
      <c r="F264">
        <v>68</v>
      </c>
    </row>
    <row r="265" spans="1:6" x14ac:dyDescent="0.35">
      <c r="A265" t="s">
        <v>1644</v>
      </c>
      <c r="B265" t="s">
        <v>1645</v>
      </c>
      <c r="C265">
        <v>20</v>
      </c>
      <c r="F265">
        <v>0</v>
      </c>
    </row>
    <row r="266" spans="1:6" x14ac:dyDescent="0.35">
      <c r="A266" t="s">
        <v>1646</v>
      </c>
      <c r="B266" t="s">
        <v>1647</v>
      </c>
      <c r="C266">
        <v>4</v>
      </c>
      <c r="F2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F265-A8D3-42CD-97FC-5DECC02C2069}">
  <dimension ref="A1:Q433"/>
  <sheetViews>
    <sheetView tabSelected="1" workbookViewId="0">
      <selection activeCell="I3" sqref="I3"/>
    </sheetView>
  </sheetViews>
  <sheetFormatPr defaultRowHeight="14.5" x14ac:dyDescent="0.35"/>
  <cols>
    <col min="1" max="1" width="85.08984375" customWidth="1"/>
    <col min="2" max="2" width="12.453125" customWidth="1"/>
    <col min="13" max="13" width="10.26953125" customWidth="1"/>
  </cols>
  <sheetData>
    <row r="1" spans="1:17" x14ac:dyDescent="0.35">
      <c r="A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</row>
    <row r="2" spans="1:17" x14ac:dyDescent="0.35">
      <c r="A2" t="s">
        <v>896</v>
      </c>
      <c r="B2" t="str">
        <f>LEFT(A2,FIND("модель/артикул",A2)-3)</f>
        <v>Транспондер пожарный esserbus transponder IQ8FCT XS</v>
      </c>
      <c r="C2" t="str">
        <f>MID(A2,FIND("модель/артикул",A2)+14,FIND("кол-во",A2)-FIND("модель/артикул",A2)-16)</f>
        <v xml:space="preserve"> 808606</v>
      </c>
      <c r="D2" t="str">
        <f>MID(A2,FIND("кол-во",A2)+7,LEN(A2))</f>
        <v>1220</v>
      </c>
      <c r="E2" t="s">
        <v>1648</v>
      </c>
      <c r="F2" t="s">
        <v>1933</v>
      </c>
      <c r="G2" t="s">
        <v>1934</v>
      </c>
      <c r="H2" t="str">
        <f>TRIM(F2)</f>
        <v>808606</v>
      </c>
      <c r="M2" t="s">
        <v>897</v>
      </c>
      <c r="N2">
        <v>1220</v>
      </c>
      <c r="O2" t="s">
        <v>2</v>
      </c>
      <c r="P2">
        <v>6981.9198542805098</v>
      </c>
      <c r="Q2">
        <v>8517942.222222222</v>
      </c>
    </row>
    <row r="3" spans="1:17" x14ac:dyDescent="0.35">
      <c r="A3" t="s">
        <v>898</v>
      </c>
      <c r="B3" t="str">
        <f t="shared" ref="B3:B66" si="0">LEFT(A3,FIND("модель/артикул",A3)-3)</f>
        <v>Esserbus transponder IQ8FCT XS</v>
      </c>
      <c r="C3" t="str">
        <f t="shared" ref="C3:C66" si="1">MID(A3,FIND("модель/артикул",A3)+14,FIND("кол-во",A3)-FIND("модель/артикул",A3)-16)</f>
        <v xml:space="preserve"> 808606</v>
      </c>
      <c r="D3" t="str">
        <f t="shared" ref="D3:D66" si="2">MID(A3,FIND("кол-во",A3)+7,LEN(A3))</f>
        <v>1210</v>
      </c>
      <c r="E3" t="s">
        <v>1649</v>
      </c>
      <c r="F3" t="s">
        <v>1933</v>
      </c>
      <c r="G3" t="s">
        <v>1935</v>
      </c>
      <c r="H3" t="str">
        <f t="shared" ref="H3:H66" si="3">TRIM(F3)</f>
        <v>808606</v>
      </c>
      <c r="M3" t="s">
        <v>897</v>
      </c>
      <c r="N3">
        <v>1210</v>
      </c>
      <c r="O3" t="s">
        <v>2</v>
      </c>
      <c r="P3">
        <v>6981.9198542805098</v>
      </c>
      <c r="Q3">
        <v>8448123.0236794166</v>
      </c>
    </row>
    <row r="4" spans="1:17" x14ac:dyDescent="0.35">
      <c r="A4" t="s">
        <v>899</v>
      </c>
      <c r="B4" t="str">
        <f t="shared" si="0"/>
        <v>Извещатель Optical smoke detector</v>
      </c>
      <c r="C4" t="str">
        <f t="shared" si="1"/>
        <v xml:space="preserve"> 802371</v>
      </c>
      <c r="D4" t="str">
        <f t="shared" si="2"/>
        <v>1199</v>
      </c>
      <c r="E4" t="s">
        <v>1650</v>
      </c>
      <c r="F4" t="s">
        <v>1936</v>
      </c>
      <c r="G4" t="s">
        <v>1937</v>
      </c>
      <c r="H4" t="str">
        <f t="shared" si="3"/>
        <v>802371</v>
      </c>
      <c r="M4" t="s">
        <v>900</v>
      </c>
      <c r="N4">
        <v>1199</v>
      </c>
      <c r="O4" t="s">
        <v>5</v>
      </c>
      <c r="P4">
        <v>6535.7600055393987</v>
      </c>
      <c r="Q4">
        <v>7836376.2466417393</v>
      </c>
    </row>
    <row r="5" spans="1:17" x14ac:dyDescent="0.35">
      <c r="A5" t="s">
        <v>901</v>
      </c>
      <c r="B5" t="str">
        <f t="shared" si="0"/>
        <v>Извещатель Optical smoke detector</v>
      </c>
      <c r="C5" t="str">
        <f t="shared" si="1"/>
        <v xml:space="preserve"> 802371</v>
      </c>
      <c r="D5" t="str">
        <f t="shared" si="2"/>
        <v>1027</v>
      </c>
      <c r="E5" t="s">
        <v>1650</v>
      </c>
      <c r="F5" t="s">
        <v>1936</v>
      </c>
      <c r="G5" t="s">
        <v>1938</v>
      </c>
      <c r="H5" t="str">
        <f t="shared" si="3"/>
        <v>802371</v>
      </c>
      <c r="M5" t="s">
        <v>900</v>
      </c>
      <c r="N5">
        <v>1027</v>
      </c>
      <c r="O5" t="s">
        <v>5</v>
      </c>
      <c r="P5">
        <v>6535.7600055393987</v>
      </c>
      <c r="Q5">
        <v>6712225.5256889621</v>
      </c>
    </row>
    <row r="6" spans="1:17" x14ac:dyDescent="0.35">
      <c r="A6" t="s">
        <v>902</v>
      </c>
      <c r="B6" t="str">
        <f t="shared" si="0"/>
        <v>Esserbus transponder IQ8FCT XS</v>
      </c>
      <c r="C6" t="str">
        <f t="shared" si="1"/>
        <v xml:space="preserve"> 808606</v>
      </c>
      <c r="D6" t="str">
        <f t="shared" si="2"/>
        <v>762</v>
      </c>
      <c r="E6" t="s">
        <v>1649</v>
      </c>
      <c r="F6" t="s">
        <v>1933</v>
      </c>
      <c r="G6" t="s">
        <v>1939</v>
      </c>
      <c r="H6" t="str">
        <f t="shared" si="3"/>
        <v>808606</v>
      </c>
      <c r="M6" t="s">
        <v>897</v>
      </c>
      <c r="N6">
        <v>762</v>
      </c>
      <c r="O6" t="s">
        <v>2</v>
      </c>
      <c r="P6">
        <v>6981.9198542805098</v>
      </c>
      <c r="Q6">
        <v>5320222.9289617483</v>
      </c>
    </row>
    <row r="7" spans="1:17" x14ac:dyDescent="0.35">
      <c r="A7" t="s">
        <v>903</v>
      </c>
      <c r="B7" t="str">
        <f t="shared" si="0"/>
        <v>Комбинированный извещатель O²T multisensor detector</v>
      </c>
      <c r="C7" t="str">
        <f t="shared" si="1"/>
        <v xml:space="preserve"> 802374</v>
      </c>
      <c r="D7" t="str">
        <f t="shared" si="2"/>
        <v>727</v>
      </c>
      <c r="E7" t="s">
        <v>1651</v>
      </c>
      <c r="F7" t="s">
        <v>1940</v>
      </c>
      <c r="G7" t="s">
        <v>1941</v>
      </c>
      <c r="H7" t="str">
        <f t="shared" si="3"/>
        <v>802374</v>
      </c>
      <c r="M7" t="s">
        <v>904</v>
      </c>
      <c r="N7">
        <v>727</v>
      </c>
      <c r="O7" t="s">
        <v>2</v>
      </c>
      <c r="P7">
        <v>6111</v>
      </c>
      <c r="Q7">
        <v>4442697</v>
      </c>
    </row>
    <row r="8" spans="1:17" x14ac:dyDescent="0.35">
      <c r="A8" t="s">
        <v>905</v>
      </c>
      <c r="B8" t="str">
        <f t="shared" si="0"/>
        <v>Spare glass pane f. small MCP</v>
      </c>
      <c r="C8" t="str">
        <f t="shared" si="1"/>
        <v xml:space="preserve"> 704960</v>
      </c>
      <c r="D8" t="str">
        <f t="shared" si="2"/>
        <v>1440</v>
      </c>
      <c r="E8" t="s">
        <v>1652</v>
      </c>
      <c r="F8" t="s">
        <v>1942</v>
      </c>
      <c r="G8" t="s">
        <v>1943</v>
      </c>
      <c r="H8" t="str">
        <f t="shared" si="3"/>
        <v>704960</v>
      </c>
      <c r="M8" t="s">
        <v>354</v>
      </c>
      <c r="N8">
        <v>1440</v>
      </c>
      <c r="O8" t="s">
        <v>2</v>
      </c>
      <c r="P8">
        <v>2550.6531061022538</v>
      </c>
      <c r="Q8">
        <v>3672940.4727872461</v>
      </c>
    </row>
    <row r="9" spans="1:17" x14ac:dyDescent="0.35">
      <c r="A9" t="s">
        <v>906</v>
      </c>
      <c r="B9" t="str">
        <f t="shared" si="0"/>
        <v>PROFI-O Smoke detector</v>
      </c>
      <c r="C9" t="str">
        <f t="shared" si="1"/>
        <v xml:space="preserve"> PROFI-O</v>
      </c>
      <c r="D9" t="str">
        <f t="shared" si="2"/>
        <v>1203</v>
      </c>
      <c r="E9" t="s">
        <v>1653</v>
      </c>
      <c r="F9" t="s">
        <v>1944</v>
      </c>
      <c r="G9" t="s">
        <v>1945</v>
      </c>
      <c r="H9" t="str">
        <f t="shared" si="3"/>
        <v>PROFI-O</v>
      </c>
      <c r="M9" t="s">
        <v>907</v>
      </c>
      <c r="N9">
        <v>1203</v>
      </c>
      <c r="O9" t="s">
        <v>2</v>
      </c>
      <c r="P9">
        <v>2187.6801521438451</v>
      </c>
      <c r="Q9">
        <v>2631779.2230290459</v>
      </c>
    </row>
    <row r="10" spans="1:17" x14ac:dyDescent="0.35">
      <c r="A10" t="s">
        <v>908</v>
      </c>
      <c r="B10" t="str">
        <f t="shared" si="0"/>
        <v>Индикатор выносной REMOTE INDICATOR</v>
      </c>
      <c r="C10" t="str">
        <f t="shared" si="1"/>
        <v xml:space="preserve"> RA100Z</v>
      </c>
      <c r="D10" t="str">
        <f t="shared" si="2"/>
        <v>800</v>
      </c>
      <c r="E10" t="s">
        <v>1654</v>
      </c>
      <c r="F10" t="s">
        <v>1946</v>
      </c>
      <c r="G10" t="s">
        <v>1947</v>
      </c>
      <c r="H10" t="str">
        <f t="shared" si="3"/>
        <v>RA100Z</v>
      </c>
      <c r="M10" t="s">
        <v>909</v>
      </c>
      <c r="N10">
        <v>800</v>
      </c>
      <c r="O10" t="s">
        <v>5</v>
      </c>
      <c r="P10">
        <v>3241.0402262727839</v>
      </c>
      <c r="Q10">
        <v>2592832.1810182282</v>
      </c>
    </row>
    <row r="11" spans="1:17" x14ac:dyDescent="0.35">
      <c r="A11" t="s">
        <v>910</v>
      </c>
      <c r="B11" t="str">
        <f t="shared" si="0"/>
        <v>PROFI-O Smoke detector</v>
      </c>
      <c r="C11" t="str">
        <f t="shared" si="1"/>
        <v xml:space="preserve"> PROFI-O</v>
      </c>
      <c r="D11" t="str">
        <f t="shared" si="2"/>
        <v>1163</v>
      </c>
      <c r="E11" t="s">
        <v>1653</v>
      </c>
      <c r="F11" t="s">
        <v>1944</v>
      </c>
      <c r="G11" t="s">
        <v>1948</v>
      </c>
      <c r="H11" t="str">
        <f t="shared" si="3"/>
        <v>PROFI-O</v>
      </c>
      <c r="M11" t="s">
        <v>907</v>
      </c>
      <c r="N11">
        <v>1163</v>
      </c>
      <c r="O11" t="s">
        <v>2</v>
      </c>
      <c r="P11">
        <v>2187.6801521438451</v>
      </c>
      <c r="Q11">
        <v>2544272.0169432922</v>
      </c>
    </row>
    <row r="12" spans="1:17" x14ac:dyDescent="0.35">
      <c r="A12" t="s">
        <v>911</v>
      </c>
      <c r="B12" t="str">
        <f t="shared" si="0"/>
        <v>Heavy weight drawer with</v>
      </c>
      <c r="C12" t="str">
        <f t="shared" si="1"/>
        <v xml:space="preserve"> FX808430.18R</v>
      </c>
      <c r="D12" t="str">
        <f t="shared" si="2"/>
        <v>13</v>
      </c>
      <c r="E12" t="s">
        <v>1655</v>
      </c>
      <c r="F12" t="s">
        <v>1949</v>
      </c>
      <c r="G12" t="s">
        <v>1950</v>
      </c>
      <c r="H12" t="str">
        <f t="shared" si="3"/>
        <v>FX808430.18R</v>
      </c>
      <c r="M12" t="s">
        <v>189</v>
      </c>
      <c r="N12">
        <v>13</v>
      </c>
      <c r="O12" t="s">
        <v>5</v>
      </c>
      <c r="P12">
        <v>189150.71428571429</v>
      </c>
      <c r="Q12">
        <v>2458959.2857142859</v>
      </c>
    </row>
    <row r="13" spans="1:17" x14ac:dyDescent="0.35">
      <c r="A13" t="s">
        <v>912</v>
      </c>
      <c r="B13" t="str">
        <f t="shared" si="0"/>
        <v>Digital Call Station DCS Plus e54-16</v>
      </c>
      <c r="C13" t="str">
        <f t="shared" si="1"/>
        <v xml:space="preserve"> 583520</v>
      </c>
      <c r="D13" t="str">
        <f t="shared" si="2"/>
        <v>19</v>
      </c>
      <c r="E13" t="s">
        <v>1656</v>
      </c>
      <c r="F13" t="s">
        <v>1951</v>
      </c>
      <c r="G13" t="s">
        <v>1952</v>
      </c>
      <c r="H13" t="str">
        <f t="shared" si="3"/>
        <v>583520</v>
      </c>
      <c r="M13" t="s">
        <v>118</v>
      </c>
      <c r="N13">
        <v>19</v>
      </c>
      <c r="O13" t="s">
        <v>5</v>
      </c>
      <c r="P13">
        <v>126089.9310344828</v>
      </c>
      <c r="Q13">
        <v>2395708.6896551722</v>
      </c>
    </row>
    <row r="14" spans="1:17" x14ac:dyDescent="0.35">
      <c r="A14" t="s">
        <v>913</v>
      </c>
      <c r="B14" t="str">
        <f t="shared" si="0"/>
        <v>Amplifier 4XD500, Version 1.1</v>
      </c>
      <c r="C14" t="str">
        <f t="shared" si="1"/>
        <v xml:space="preserve"> 580249.11</v>
      </c>
      <c r="D14" t="str">
        <f t="shared" si="2"/>
        <v>6</v>
      </c>
      <c r="E14" t="s">
        <v>1953</v>
      </c>
      <c r="F14" t="s">
        <v>1954</v>
      </c>
      <c r="G14" t="s">
        <v>1955</v>
      </c>
      <c r="H14" t="str">
        <f t="shared" si="3"/>
        <v>580249.11</v>
      </c>
      <c r="M14" t="s">
        <v>914</v>
      </c>
      <c r="N14">
        <v>6</v>
      </c>
      <c r="O14" t="s">
        <v>5</v>
      </c>
      <c r="P14">
        <v>376592.4375</v>
      </c>
      <c r="Q14">
        <v>2259554.625</v>
      </c>
    </row>
    <row r="15" spans="1:17" x14ac:dyDescent="0.35">
      <c r="A15" t="s">
        <v>915</v>
      </c>
      <c r="B15" t="str">
        <f t="shared" si="0"/>
        <v>База извещателя Standard detector base for</v>
      </c>
      <c r="C15" t="str">
        <f t="shared" si="1"/>
        <v xml:space="preserve"> 805590</v>
      </c>
      <c r="D15" t="str">
        <f t="shared" si="2"/>
        <v>2227</v>
      </c>
      <c r="E15" t="s">
        <v>1657</v>
      </c>
      <c r="F15" t="s">
        <v>1956</v>
      </c>
      <c r="G15" t="s">
        <v>1957</v>
      </c>
      <c r="H15" t="str">
        <f t="shared" si="3"/>
        <v>805590</v>
      </c>
      <c r="M15" t="s">
        <v>677</v>
      </c>
      <c r="N15">
        <v>2227</v>
      </c>
      <c r="O15" t="s">
        <v>5</v>
      </c>
      <c r="P15">
        <v>810.27679488642843</v>
      </c>
      <c r="Q15">
        <v>1804486.4222120759</v>
      </c>
    </row>
    <row r="16" spans="1:17" x14ac:dyDescent="0.35">
      <c r="A16" t="s">
        <v>916</v>
      </c>
      <c r="B16" t="str">
        <f t="shared" si="0"/>
        <v>Esserbus transponder 12 relays</v>
      </c>
      <c r="C16" t="str">
        <f t="shared" si="1"/>
        <v xml:space="preserve"> 808610.10</v>
      </c>
      <c r="D16" t="str">
        <f t="shared" si="2"/>
        <v>74</v>
      </c>
      <c r="E16" t="s">
        <v>1658</v>
      </c>
      <c r="F16" t="s">
        <v>1958</v>
      </c>
      <c r="G16" t="s">
        <v>1959</v>
      </c>
      <c r="H16" t="str">
        <f t="shared" si="3"/>
        <v>808610.10</v>
      </c>
      <c r="M16" t="s">
        <v>108</v>
      </c>
      <c r="N16">
        <v>74</v>
      </c>
      <c r="O16" t="s">
        <v>5</v>
      </c>
      <c r="P16">
        <v>23371.03921568628</v>
      </c>
      <c r="Q16">
        <v>1729456.9019607841</v>
      </c>
    </row>
    <row r="17" spans="1:17" x14ac:dyDescent="0.35">
      <c r="A17" t="s">
        <v>917</v>
      </c>
      <c r="B17" t="str">
        <f t="shared" si="0"/>
        <v>CN80 HOME BASE</v>
      </c>
      <c r="C17" t="str">
        <f t="shared" si="1"/>
        <v xml:space="preserve"> CN80-HB-CNV-0</v>
      </c>
      <c r="D17" t="str">
        <f t="shared" si="2"/>
        <v>55</v>
      </c>
      <c r="E17" t="s">
        <v>1659</v>
      </c>
      <c r="F17" t="s">
        <v>1960</v>
      </c>
      <c r="G17" t="s">
        <v>1961</v>
      </c>
      <c r="H17" t="str">
        <f t="shared" si="3"/>
        <v>CN80-HB-CNV-0</v>
      </c>
      <c r="M17" t="s">
        <v>918</v>
      </c>
      <c r="N17">
        <v>55</v>
      </c>
      <c r="O17" t="s">
        <v>2</v>
      </c>
      <c r="P17">
        <v>26030.396551724141</v>
      </c>
      <c r="Q17">
        <v>1431671.8103448281</v>
      </c>
    </row>
    <row r="18" spans="1:17" x14ac:dyDescent="0.35">
      <c r="A18" t="s">
        <v>919</v>
      </c>
      <c r="B18" t="str">
        <f t="shared" si="0"/>
        <v>iq8fct lp</v>
      </c>
      <c r="C18" t="str">
        <f t="shared" si="1"/>
        <v xml:space="preserve"> 808621</v>
      </c>
      <c r="D18" t="str">
        <f t="shared" si="2"/>
        <v>101</v>
      </c>
      <c r="E18" t="s">
        <v>1660</v>
      </c>
      <c r="F18" t="s">
        <v>1962</v>
      </c>
      <c r="G18" t="s">
        <v>1963</v>
      </c>
      <c r="H18" t="str">
        <f t="shared" si="3"/>
        <v>808621</v>
      </c>
      <c r="M18" t="s">
        <v>112</v>
      </c>
      <c r="N18">
        <v>101</v>
      </c>
      <c r="O18" t="s">
        <v>2</v>
      </c>
      <c r="P18">
        <v>12605.11955241461</v>
      </c>
      <c r="Q18">
        <v>1273117.074793875</v>
      </c>
    </row>
    <row r="19" spans="1:17" x14ac:dyDescent="0.35">
      <c r="A19" t="s">
        <v>920</v>
      </c>
      <c r="B19" t="str">
        <f t="shared" si="0"/>
        <v>Loop card esserbus/esserbus-PL</v>
      </c>
      <c r="C19" t="str">
        <f t="shared" si="1"/>
        <v xml:space="preserve"> FX808332</v>
      </c>
      <c r="D19" t="str">
        <f t="shared" si="2"/>
        <v>55</v>
      </c>
      <c r="E19" t="s">
        <v>1661</v>
      </c>
      <c r="F19" t="s">
        <v>1964</v>
      </c>
      <c r="G19" t="s">
        <v>1961</v>
      </c>
      <c r="H19" t="str">
        <f t="shared" si="3"/>
        <v>FX808332</v>
      </c>
      <c r="M19" t="s">
        <v>54</v>
      </c>
      <c r="N19">
        <v>55</v>
      </c>
      <c r="O19" t="s">
        <v>2</v>
      </c>
      <c r="P19">
        <v>22295.682539682541</v>
      </c>
      <c r="Q19">
        <v>1226262.5396825401</v>
      </c>
    </row>
    <row r="20" spans="1:17" x14ac:dyDescent="0.35">
      <c r="A20" t="s">
        <v>921</v>
      </c>
      <c r="B20" t="str">
        <f t="shared" si="0"/>
        <v>MP COMPACT 4 MOBILE 203 DPI, DC</v>
      </c>
      <c r="C20" t="str">
        <f t="shared" si="1"/>
        <v xml:space="preserve"> XJ1-00-07000000</v>
      </c>
      <c r="D20" t="str">
        <f t="shared" si="2"/>
        <v>5</v>
      </c>
      <c r="E20" t="s">
        <v>1965</v>
      </c>
      <c r="F20" t="s">
        <v>1966</v>
      </c>
      <c r="G20" t="s">
        <v>1967</v>
      </c>
      <c r="H20" t="str">
        <f t="shared" si="3"/>
        <v>XJ1-00-07000000</v>
      </c>
      <c r="M20" t="s">
        <v>922</v>
      </c>
      <c r="N20">
        <v>5</v>
      </c>
      <c r="O20" t="s">
        <v>2</v>
      </c>
      <c r="P20">
        <v>233209.16666666669</v>
      </c>
      <c r="Q20">
        <v>1166045.833333333</v>
      </c>
    </row>
    <row r="21" spans="1:17" x14ac:dyDescent="0.35">
      <c r="A21" t="s">
        <v>923</v>
      </c>
      <c r="B21" t="str">
        <f t="shared" si="0"/>
        <v>KIT, PLATEN ROLLER-KA10</v>
      </c>
      <c r="C21" t="str">
        <f t="shared" si="1"/>
        <v xml:space="preserve"> ROL15-2761-04</v>
      </c>
      <c r="D21" t="str">
        <f t="shared" si="2"/>
        <v>218</v>
      </c>
      <c r="E21" t="s">
        <v>1968</v>
      </c>
      <c r="F21" t="s">
        <v>1969</v>
      </c>
      <c r="G21" t="s">
        <v>1970</v>
      </c>
      <c r="H21" t="str">
        <f t="shared" si="3"/>
        <v>ROL15-2761-04</v>
      </c>
      <c r="M21" t="s">
        <v>924</v>
      </c>
      <c r="N21">
        <v>218</v>
      </c>
      <c r="O21" t="s">
        <v>5</v>
      </c>
      <c r="P21">
        <v>5257.2072072072069</v>
      </c>
      <c r="Q21">
        <v>1146071.1711711709</v>
      </c>
    </row>
    <row r="22" spans="1:17" x14ac:dyDescent="0.35">
      <c r="A22" t="s">
        <v>925</v>
      </c>
      <c r="B22" t="str">
        <f t="shared" si="0"/>
        <v>Display and operating unit w.</v>
      </c>
      <c r="C22" t="str">
        <f t="shared" si="1"/>
        <v xml:space="preserve"> FX808324</v>
      </c>
      <c r="D22" t="str">
        <f t="shared" si="2"/>
        <v>11</v>
      </c>
      <c r="E22" t="s">
        <v>1662</v>
      </c>
      <c r="F22" t="s">
        <v>1971</v>
      </c>
      <c r="G22" t="s">
        <v>1972</v>
      </c>
      <c r="H22" t="str">
        <f t="shared" si="3"/>
        <v>FX808324</v>
      </c>
      <c r="M22" t="s">
        <v>785</v>
      </c>
      <c r="N22">
        <v>11</v>
      </c>
      <c r="O22" t="s">
        <v>2</v>
      </c>
      <c r="P22">
        <v>102708.27272727271</v>
      </c>
      <c r="Q22">
        <v>1129791</v>
      </c>
    </row>
    <row r="23" spans="1:17" x14ac:dyDescent="0.35">
      <c r="A23" t="s">
        <v>926</v>
      </c>
      <c r="B23" t="str">
        <f t="shared" si="0"/>
        <v>4MP WDR IP Outdoor Dome IR,2.7~13.5mm MF</v>
      </c>
      <c r="C23" t="str">
        <f t="shared" si="1"/>
        <v xml:space="preserve"> H4W4GR1Y</v>
      </c>
      <c r="D23" t="str">
        <f t="shared" si="2"/>
        <v>15</v>
      </c>
      <c r="E23" t="s">
        <v>1973</v>
      </c>
      <c r="F23" t="s">
        <v>1974</v>
      </c>
      <c r="G23" t="s">
        <v>1975</v>
      </c>
      <c r="H23" t="str">
        <f t="shared" si="3"/>
        <v>H4W4GR1Y</v>
      </c>
      <c r="M23" t="s">
        <v>927</v>
      </c>
      <c r="N23">
        <v>15</v>
      </c>
      <c r="O23" t="s">
        <v>2</v>
      </c>
      <c r="P23">
        <v>72974.880952380947</v>
      </c>
      <c r="Q23">
        <v>1094623.2142857141</v>
      </c>
    </row>
    <row r="24" spans="1:17" x14ac:dyDescent="0.35">
      <c r="A24" t="s">
        <v>928</v>
      </c>
      <c r="B24" t="str">
        <f t="shared" si="0"/>
        <v>Heavy weight drawer f. power</v>
      </c>
      <c r="C24" t="str">
        <f t="shared" si="1"/>
        <v xml:space="preserve"> FX808431</v>
      </c>
      <c r="D24" t="str">
        <f t="shared" si="2"/>
        <v>11</v>
      </c>
      <c r="E24" t="s">
        <v>1663</v>
      </c>
      <c r="F24" t="s">
        <v>1976</v>
      </c>
      <c r="G24" t="s">
        <v>1972</v>
      </c>
      <c r="H24" t="str">
        <f t="shared" si="3"/>
        <v>FX808431</v>
      </c>
      <c r="M24" t="s">
        <v>929</v>
      </c>
      <c r="N24">
        <v>11</v>
      </c>
      <c r="O24" t="s">
        <v>5</v>
      </c>
      <c r="P24">
        <v>98009.1</v>
      </c>
      <c r="Q24">
        <v>1078100.1000000001</v>
      </c>
    </row>
    <row r="25" spans="1:17" x14ac:dyDescent="0.35">
      <c r="A25" t="s">
        <v>930</v>
      </c>
      <c r="B25" t="str">
        <f t="shared" si="0"/>
        <v>Зарядное устройство для ТСД Home Base with EU power cord</v>
      </c>
      <c r="C25" t="str">
        <f t="shared" si="1"/>
        <v xml:space="preserve"> EDA61K-HB-2</v>
      </c>
      <c r="D25" t="str">
        <f t="shared" si="2"/>
        <v>100</v>
      </c>
      <c r="E25" t="s">
        <v>1664</v>
      </c>
      <c r="F25" t="s">
        <v>1977</v>
      </c>
      <c r="G25" t="s">
        <v>1978</v>
      </c>
      <c r="H25" t="str">
        <f t="shared" si="3"/>
        <v>EDA61K-HB-2</v>
      </c>
      <c r="M25" t="s">
        <v>541</v>
      </c>
      <c r="N25">
        <v>100</v>
      </c>
      <c r="O25" t="s">
        <v>2</v>
      </c>
      <c r="P25">
        <v>9672.9604278074858</v>
      </c>
      <c r="Q25">
        <v>967296.04278074857</v>
      </c>
    </row>
    <row r="26" spans="1:17" x14ac:dyDescent="0.35">
      <c r="A26" t="s">
        <v>931</v>
      </c>
      <c r="B26" t="str">
        <f t="shared" si="0"/>
        <v>Loop LED remote ind. panel</v>
      </c>
      <c r="C26" t="str">
        <f t="shared" si="1"/>
        <v xml:space="preserve"> 804791</v>
      </c>
      <c r="D26" t="str">
        <f t="shared" si="2"/>
        <v>28</v>
      </c>
      <c r="E26" t="s">
        <v>1665</v>
      </c>
      <c r="F26" t="s">
        <v>1979</v>
      </c>
      <c r="G26" t="s">
        <v>1980</v>
      </c>
      <c r="H26" t="str">
        <f t="shared" si="3"/>
        <v>804791</v>
      </c>
      <c r="M26" t="s">
        <v>177</v>
      </c>
      <c r="N26">
        <v>28</v>
      </c>
      <c r="O26" t="s">
        <v>2</v>
      </c>
      <c r="P26">
        <v>34511.294117647063</v>
      </c>
      <c r="Q26">
        <v>966316.23529411759</v>
      </c>
    </row>
    <row r="27" spans="1:17" x14ac:dyDescent="0.35">
      <c r="A27" t="s">
        <v>932</v>
      </c>
      <c r="B27" t="str">
        <f t="shared" si="0"/>
        <v>PW-5000 TILE MOUNT REMOTE ENCLOSURE EU V</v>
      </c>
      <c r="C27" t="str">
        <f t="shared" si="1"/>
        <v xml:space="preserve"> PW5K1ENC3E</v>
      </c>
      <c r="D27" t="str">
        <f t="shared" si="2"/>
        <v>28</v>
      </c>
      <c r="E27" t="s">
        <v>1666</v>
      </c>
      <c r="F27" t="s">
        <v>1981</v>
      </c>
      <c r="G27" t="s">
        <v>1980</v>
      </c>
      <c r="H27" t="str">
        <f t="shared" si="3"/>
        <v>PW5K1ENC3E</v>
      </c>
      <c r="M27" t="s">
        <v>161</v>
      </c>
      <c r="N27">
        <v>28</v>
      </c>
      <c r="O27" t="s">
        <v>5</v>
      </c>
      <c r="P27">
        <v>33409.701570680627</v>
      </c>
      <c r="Q27">
        <v>935471.64397905755</v>
      </c>
    </row>
    <row r="28" spans="1:17" x14ac:dyDescent="0.35">
      <c r="A28" t="s">
        <v>933</v>
      </c>
      <c r="B28" t="str">
        <f t="shared" si="0"/>
        <v>EARMUFF-LEIGHTNING L3H EU</v>
      </c>
      <c r="C28" t="str">
        <f t="shared" si="1"/>
        <v xml:space="preserve"> 1012541</v>
      </c>
      <c r="D28" t="str">
        <f t="shared" si="2"/>
        <v>200</v>
      </c>
      <c r="E28" t="s">
        <v>1667</v>
      </c>
      <c r="F28" t="s">
        <v>1982</v>
      </c>
      <c r="G28" t="s">
        <v>1983</v>
      </c>
      <c r="H28" t="str">
        <f t="shared" si="3"/>
        <v>1012541</v>
      </c>
      <c r="M28" t="s">
        <v>934</v>
      </c>
      <c r="N28">
        <v>200</v>
      </c>
      <c r="O28" t="s">
        <v>2</v>
      </c>
      <c r="P28">
        <v>4675.6315789473683</v>
      </c>
      <c r="Q28">
        <v>935126.31578947371</v>
      </c>
    </row>
    <row r="29" spans="1:17" x14ac:dyDescent="0.35">
      <c r="A29" t="s">
        <v>935</v>
      </c>
      <c r="B29" t="str">
        <f t="shared" si="0"/>
        <v>Heavy weight drawer f. power</v>
      </c>
      <c r="C29" t="str">
        <f t="shared" si="1"/>
        <v xml:space="preserve"> FX808431</v>
      </c>
      <c r="D29" t="str">
        <f t="shared" si="2"/>
        <v>9</v>
      </c>
      <c r="E29" t="s">
        <v>1663</v>
      </c>
      <c r="F29" t="s">
        <v>1976</v>
      </c>
      <c r="G29" t="s">
        <v>1984</v>
      </c>
      <c r="H29" t="str">
        <f t="shared" si="3"/>
        <v>FX808431</v>
      </c>
      <c r="M29" t="s">
        <v>929</v>
      </c>
      <c r="N29">
        <v>9</v>
      </c>
      <c r="O29" t="s">
        <v>5</v>
      </c>
      <c r="P29">
        <v>98009.1</v>
      </c>
      <c r="Q29">
        <v>882081.9</v>
      </c>
    </row>
    <row r="30" spans="1:17" x14ac:dyDescent="0.35">
      <c r="A30" t="s">
        <v>936</v>
      </c>
      <c r="B30" t="str">
        <f t="shared" si="0"/>
        <v>База извещателя Standard detector base for</v>
      </c>
      <c r="C30" t="str">
        <f t="shared" si="1"/>
        <v xml:space="preserve"> 805590</v>
      </c>
      <c r="D30" t="str">
        <f t="shared" si="2"/>
        <v>1000</v>
      </c>
      <c r="E30" t="s">
        <v>1657</v>
      </c>
      <c r="F30" t="s">
        <v>1956</v>
      </c>
      <c r="G30" t="s">
        <v>1985</v>
      </c>
      <c r="H30" t="str">
        <f t="shared" si="3"/>
        <v>805590</v>
      </c>
      <c r="M30" t="s">
        <v>677</v>
      </c>
      <c r="N30">
        <v>1000</v>
      </c>
      <c r="O30" t="s">
        <v>5</v>
      </c>
      <c r="P30">
        <v>810.27679488642843</v>
      </c>
      <c r="Q30">
        <v>810276.7948864284</v>
      </c>
    </row>
    <row r="31" spans="1:17" x14ac:dyDescent="0.35">
      <c r="A31" t="s">
        <v>937</v>
      </c>
      <c r="B31" t="str">
        <f t="shared" si="0"/>
        <v>SURFACE OUTSTATION TYPE B</v>
      </c>
      <c r="C31" t="str">
        <f t="shared" si="1"/>
        <v xml:space="preserve"> EVCS-HSB</v>
      </c>
      <c r="D31" t="str">
        <f t="shared" si="2"/>
        <v>54</v>
      </c>
      <c r="E31" t="s">
        <v>1668</v>
      </c>
      <c r="F31" t="s">
        <v>1986</v>
      </c>
      <c r="G31" t="s">
        <v>1987</v>
      </c>
      <c r="H31" t="str">
        <f t="shared" si="3"/>
        <v>EVCS-HSB</v>
      </c>
      <c r="M31" t="s">
        <v>153</v>
      </c>
      <c r="N31">
        <v>54</v>
      </c>
      <c r="O31" t="s">
        <v>2</v>
      </c>
      <c r="P31">
        <v>14960</v>
      </c>
      <c r="Q31">
        <v>807840</v>
      </c>
    </row>
    <row r="32" spans="1:17" x14ac:dyDescent="0.35">
      <c r="A32" t="s">
        <v>938</v>
      </c>
      <c r="B32" t="str">
        <f t="shared" si="0"/>
        <v>SBEACON-RED-RED LENS-FF</v>
      </c>
      <c r="C32" t="str">
        <f t="shared" si="1"/>
        <v xml:space="preserve"> CWSS-RB-S8</v>
      </c>
      <c r="D32" t="str">
        <f t="shared" si="2"/>
        <v>192</v>
      </c>
      <c r="E32" t="s">
        <v>1669</v>
      </c>
      <c r="F32" t="s">
        <v>1988</v>
      </c>
      <c r="G32" t="s">
        <v>1989</v>
      </c>
      <c r="H32" t="str">
        <f t="shared" si="3"/>
        <v>CWSS-RB-S8</v>
      </c>
      <c r="M32" t="s">
        <v>211</v>
      </c>
      <c r="N32">
        <v>192</v>
      </c>
      <c r="O32" t="s">
        <v>2</v>
      </c>
      <c r="P32">
        <v>3960</v>
      </c>
      <c r="Q32">
        <v>760320</v>
      </c>
    </row>
    <row r="33" spans="1:17" x14ac:dyDescent="0.35">
      <c r="A33" t="s">
        <v>939</v>
      </c>
      <c r="B33" t="str">
        <f t="shared" si="0"/>
        <v>Amplifier 4XD500, Version 1.1</v>
      </c>
      <c r="C33" t="str">
        <f t="shared" si="1"/>
        <v xml:space="preserve"> 580249.11</v>
      </c>
      <c r="D33" t="str">
        <f t="shared" si="2"/>
        <v>2</v>
      </c>
      <c r="E33" t="s">
        <v>1953</v>
      </c>
      <c r="F33" t="s">
        <v>1954</v>
      </c>
      <c r="G33" t="s">
        <v>1990</v>
      </c>
      <c r="H33" t="str">
        <f t="shared" si="3"/>
        <v>580249.11</v>
      </c>
      <c r="M33" t="s">
        <v>914</v>
      </c>
      <c r="N33">
        <v>2</v>
      </c>
      <c r="O33" t="s">
        <v>5</v>
      </c>
      <c r="P33">
        <v>376592.4375</v>
      </c>
      <c r="Q33">
        <v>753184.875</v>
      </c>
    </row>
    <row r="34" spans="1:17" x14ac:dyDescent="0.35">
      <c r="A34" t="s">
        <v>939</v>
      </c>
      <c r="B34" t="str">
        <f t="shared" si="0"/>
        <v>Amplifier 4XD500, Version 1.1</v>
      </c>
      <c r="C34" t="str">
        <f t="shared" si="1"/>
        <v xml:space="preserve"> 580249.11</v>
      </c>
      <c r="D34" t="str">
        <f t="shared" si="2"/>
        <v>2</v>
      </c>
      <c r="E34" t="s">
        <v>1953</v>
      </c>
      <c r="F34" t="s">
        <v>1954</v>
      </c>
      <c r="G34" t="s">
        <v>1990</v>
      </c>
      <c r="H34" t="str">
        <f t="shared" si="3"/>
        <v>580249.11</v>
      </c>
      <c r="M34" t="s">
        <v>914</v>
      </c>
      <c r="N34">
        <v>2</v>
      </c>
      <c r="O34" t="s">
        <v>5</v>
      </c>
      <c r="P34">
        <v>376592.4375</v>
      </c>
      <c r="Q34">
        <v>753184.875</v>
      </c>
    </row>
    <row r="35" spans="1:17" x14ac:dyDescent="0.35">
      <c r="A35" t="s">
        <v>940</v>
      </c>
      <c r="B35" t="str">
        <f t="shared" si="0"/>
        <v>Power supply-QUINT4-PS/1AC/24DC/20/+</v>
      </c>
      <c r="C35" t="str">
        <f t="shared" si="1"/>
        <v xml:space="preserve"> 2904617</v>
      </c>
      <c r="D35" t="str">
        <f t="shared" si="2"/>
        <v>16</v>
      </c>
      <c r="E35" t="s">
        <v>1670</v>
      </c>
      <c r="F35" t="s">
        <v>1991</v>
      </c>
      <c r="G35" t="s">
        <v>1992</v>
      </c>
      <c r="H35" t="str">
        <f t="shared" si="3"/>
        <v>2904617</v>
      </c>
      <c r="M35" t="s">
        <v>173</v>
      </c>
      <c r="N35">
        <v>16</v>
      </c>
      <c r="O35" t="s">
        <v>5</v>
      </c>
      <c r="P35">
        <v>41943.190476190473</v>
      </c>
      <c r="Q35">
        <v>671091.04761904757</v>
      </c>
    </row>
    <row r="36" spans="1:17" x14ac:dyDescent="0.35">
      <c r="A36" t="s">
        <v>941</v>
      </c>
      <c r="B36" t="str">
        <f t="shared" si="0"/>
        <v>EARMUFF-LEIGHTNING L1H</v>
      </c>
      <c r="C36" t="str">
        <f t="shared" si="1"/>
        <v xml:space="preserve"> 1012539</v>
      </c>
      <c r="D36" t="str">
        <f t="shared" si="2"/>
        <v>405</v>
      </c>
      <c r="E36" t="s">
        <v>1671</v>
      </c>
      <c r="F36" t="s">
        <v>1993</v>
      </c>
      <c r="G36" t="s">
        <v>1994</v>
      </c>
      <c r="H36" t="str">
        <f t="shared" si="3"/>
        <v>1012539</v>
      </c>
      <c r="M36" t="s">
        <v>942</v>
      </c>
      <c r="N36">
        <v>405</v>
      </c>
      <c r="O36" t="s">
        <v>2</v>
      </c>
      <c r="P36">
        <v>1652.589064748202</v>
      </c>
      <c r="Q36">
        <v>669298.5712230216</v>
      </c>
    </row>
    <row r="37" spans="1:17" x14ac:dyDescent="0.35">
      <c r="A37" t="s">
        <v>943</v>
      </c>
      <c r="B37" t="str">
        <f t="shared" si="0"/>
        <v>FACP FlexES Control FX18/18</v>
      </c>
      <c r="C37" t="str">
        <f t="shared" si="1"/>
        <v xml:space="preserve"> FX808397</v>
      </c>
      <c r="D37" t="str">
        <f t="shared" si="2"/>
        <v>1</v>
      </c>
      <c r="E37" t="s">
        <v>1672</v>
      </c>
      <c r="F37" t="s">
        <v>1995</v>
      </c>
      <c r="G37" t="s">
        <v>1996</v>
      </c>
      <c r="H37" t="str">
        <f t="shared" si="3"/>
        <v>FX808397</v>
      </c>
      <c r="M37" t="s">
        <v>944</v>
      </c>
      <c r="N37">
        <v>1</v>
      </c>
      <c r="O37" t="s">
        <v>5</v>
      </c>
      <c r="P37">
        <v>626289</v>
      </c>
      <c r="Q37">
        <v>626289</v>
      </c>
    </row>
    <row r="38" spans="1:17" x14ac:dyDescent="0.35">
      <c r="A38" t="s">
        <v>945</v>
      </c>
      <c r="B38" t="str">
        <f t="shared" si="0"/>
        <v>PW-5000 TILE MOUNT REMOTE ENCLOSURE EU V</v>
      </c>
      <c r="C38" t="str">
        <f t="shared" si="1"/>
        <v xml:space="preserve"> PW5K1ENC3E</v>
      </c>
      <c r="D38" t="str">
        <f t="shared" si="2"/>
        <v>18</v>
      </c>
      <c r="E38" t="s">
        <v>1666</v>
      </c>
      <c r="F38" t="s">
        <v>1981</v>
      </c>
      <c r="G38" t="s">
        <v>1997</v>
      </c>
      <c r="H38" t="str">
        <f t="shared" si="3"/>
        <v>PW5K1ENC3E</v>
      </c>
      <c r="M38" t="s">
        <v>161</v>
      </c>
      <c r="N38">
        <v>18</v>
      </c>
      <c r="O38" t="s">
        <v>5</v>
      </c>
      <c r="P38">
        <v>33409.701570680627</v>
      </c>
      <c r="Q38">
        <v>601374.62827225123</v>
      </c>
    </row>
    <row r="39" spans="1:17" x14ac:dyDescent="0.35">
      <c r="A39" t="s">
        <v>946</v>
      </c>
      <c r="B39" t="str">
        <f t="shared" si="0"/>
        <v>EARMUFF-LEIGHTNING L1H</v>
      </c>
      <c r="C39" t="str">
        <f t="shared" si="1"/>
        <v xml:space="preserve"> 1012539</v>
      </c>
      <c r="D39" t="str">
        <f t="shared" si="2"/>
        <v>360</v>
      </c>
      <c r="E39" t="s">
        <v>1671</v>
      </c>
      <c r="F39" t="s">
        <v>1993</v>
      </c>
      <c r="G39" t="s">
        <v>1998</v>
      </c>
      <c r="H39" t="str">
        <f t="shared" si="3"/>
        <v>1012539</v>
      </c>
      <c r="M39" t="s">
        <v>942</v>
      </c>
      <c r="N39">
        <v>360</v>
      </c>
      <c r="O39" t="s">
        <v>2</v>
      </c>
      <c r="P39">
        <v>1652.589064748202</v>
      </c>
      <c r="Q39">
        <v>594932.0633093525</v>
      </c>
    </row>
    <row r="40" spans="1:17" x14ac:dyDescent="0.35">
      <c r="A40" t="s">
        <v>947</v>
      </c>
      <c r="B40" t="str">
        <f t="shared" si="0"/>
        <v>IP RUG DOM 4MP H.265 TDN 2.7-13.5MM IP66</v>
      </c>
      <c r="C40" t="str">
        <f t="shared" si="1"/>
        <v xml:space="preserve"> H4W4PER2</v>
      </c>
      <c r="D40" t="str">
        <f t="shared" si="2"/>
        <v>30</v>
      </c>
      <c r="E40" t="s">
        <v>1673</v>
      </c>
      <c r="F40" t="s">
        <v>1999</v>
      </c>
      <c r="G40" t="s">
        <v>2000</v>
      </c>
      <c r="H40" t="str">
        <f t="shared" si="3"/>
        <v>H4W4PER2</v>
      </c>
      <c r="M40" t="s">
        <v>948</v>
      </c>
      <c r="N40">
        <v>30</v>
      </c>
      <c r="O40" t="s">
        <v>5</v>
      </c>
      <c r="P40">
        <v>19447.121212121208</v>
      </c>
      <c r="Q40">
        <v>583413.63636363635</v>
      </c>
    </row>
    <row r="41" spans="1:17" x14ac:dyDescent="0.35">
      <c r="A41" t="s">
        <v>949</v>
      </c>
      <c r="B41" t="str">
        <f t="shared" si="0"/>
        <v>MULTIDOCK, CHARGE ONLY CK3, AD22</v>
      </c>
      <c r="C41" t="str">
        <f t="shared" si="1"/>
        <v xml:space="preserve"> 871-229-201</v>
      </c>
      <c r="D41" t="str">
        <f t="shared" si="2"/>
        <v>19</v>
      </c>
      <c r="E41" t="s">
        <v>2001</v>
      </c>
      <c r="F41" t="s">
        <v>2002</v>
      </c>
      <c r="G41" t="s">
        <v>1952</v>
      </c>
      <c r="H41" t="str">
        <f t="shared" si="3"/>
        <v>871-229-201</v>
      </c>
      <c r="M41" t="s">
        <v>950</v>
      </c>
      <c r="N41">
        <v>19</v>
      </c>
      <c r="O41" t="s">
        <v>5</v>
      </c>
      <c r="P41">
        <v>30368.793103448279</v>
      </c>
      <c r="Q41">
        <v>577007.06896551722</v>
      </c>
    </row>
    <row r="42" spans="1:17" x14ac:dyDescent="0.35">
      <c r="A42" t="s">
        <v>951</v>
      </c>
      <c r="B42" t="str">
        <f t="shared" si="0"/>
        <v>Power supply extension</v>
      </c>
      <c r="C42" t="str">
        <f t="shared" si="1"/>
        <v xml:space="preserve"> FX808363</v>
      </c>
      <c r="D42" t="str">
        <f t="shared" si="2"/>
        <v>15</v>
      </c>
      <c r="E42" t="s">
        <v>1674</v>
      </c>
      <c r="F42" t="s">
        <v>2003</v>
      </c>
      <c r="G42" t="s">
        <v>1975</v>
      </c>
      <c r="H42" t="str">
        <f t="shared" si="3"/>
        <v>FX808363</v>
      </c>
      <c r="M42" t="s">
        <v>952</v>
      </c>
      <c r="N42">
        <v>15</v>
      </c>
      <c r="O42" t="s">
        <v>5</v>
      </c>
      <c r="P42">
        <v>38408.480446927373</v>
      </c>
      <c r="Q42">
        <v>576127.2067039106</v>
      </c>
    </row>
    <row r="43" spans="1:17" x14ac:dyDescent="0.35">
      <c r="A43" t="s">
        <v>953</v>
      </c>
      <c r="B43" t="str">
        <f t="shared" si="0"/>
        <v>Leo Smoke-Heat Detector</v>
      </c>
      <c r="C43" t="str">
        <f t="shared" si="1"/>
        <v xml:space="preserve"> LEONARDO-OT</v>
      </c>
      <c r="D43" t="str">
        <f t="shared" si="2"/>
        <v>500</v>
      </c>
      <c r="E43" t="s">
        <v>1675</v>
      </c>
      <c r="F43" t="s">
        <v>2004</v>
      </c>
      <c r="G43" t="s">
        <v>2005</v>
      </c>
      <c r="H43" t="str">
        <f t="shared" si="3"/>
        <v>LEONARDO-OT</v>
      </c>
      <c r="M43" t="s">
        <v>169</v>
      </c>
      <c r="N43">
        <v>500</v>
      </c>
      <c r="O43" t="s">
        <v>5</v>
      </c>
      <c r="P43">
        <v>1056</v>
      </c>
      <c r="Q43">
        <v>528000</v>
      </c>
    </row>
    <row r="44" spans="1:17" x14ac:dyDescent="0.35">
      <c r="A44" t="s">
        <v>954</v>
      </c>
      <c r="B44" t="str">
        <f t="shared" si="0"/>
        <v>База извещателя Standard detector base for</v>
      </c>
      <c r="C44" t="str">
        <f t="shared" si="1"/>
        <v xml:space="preserve"> 805590</v>
      </c>
      <c r="D44" t="str">
        <f t="shared" si="2"/>
        <v>650</v>
      </c>
      <c r="E44" t="s">
        <v>1657</v>
      </c>
      <c r="F44" t="s">
        <v>1956</v>
      </c>
      <c r="G44" t="s">
        <v>2006</v>
      </c>
      <c r="H44" t="str">
        <f t="shared" si="3"/>
        <v>805590</v>
      </c>
      <c r="M44" t="s">
        <v>677</v>
      </c>
      <c r="N44">
        <v>650</v>
      </c>
      <c r="O44" t="s">
        <v>5</v>
      </c>
      <c r="P44">
        <v>810.27679488642843</v>
      </c>
      <c r="Q44">
        <v>526679.91667617846</v>
      </c>
    </row>
    <row r="45" spans="1:17" x14ac:dyDescent="0.35">
      <c r="A45" t="s">
        <v>955</v>
      </c>
      <c r="B45" t="str">
        <f t="shared" si="0"/>
        <v>ASD SOCKET UNION 25MM PK10</v>
      </c>
      <c r="C45" t="str">
        <f t="shared" si="1"/>
        <v xml:space="preserve"> PIP-003</v>
      </c>
      <c r="D45" t="str">
        <f t="shared" si="2"/>
        <v>170</v>
      </c>
      <c r="E45" t="s">
        <v>1676</v>
      </c>
      <c r="F45" t="s">
        <v>2007</v>
      </c>
      <c r="G45" t="s">
        <v>2008</v>
      </c>
      <c r="H45" t="str">
        <f t="shared" si="3"/>
        <v>PIP-003</v>
      </c>
      <c r="M45" t="s">
        <v>956</v>
      </c>
      <c r="N45">
        <v>170</v>
      </c>
      <c r="O45" t="s">
        <v>2</v>
      </c>
      <c r="P45">
        <v>3083.84705882353</v>
      </c>
      <c r="Q45">
        <v>524254</v>
      </c>
    </row>
    <row r="46" spans="1:17" x14ac:dyDescent="0.35">
      <c r="A46" t="s">
        <v>957</v>
      </c>
      <c r="B46" t="str">
        <f t="shared" si="0"/>
        <v>Mounting adapter 10x for (10 pcs)</v>
      </c>
      <c r="C46" t="str">
        <f t="shared" si="1"/>
        <v xml:space="preserve"> 805577</v>
      </c>
      <c r="D46" t="str">
        <f t="shared" si="2"/>
        <v>199</v>
      </c>
      <c r="E46" t="s">
        <v>1677</v>
      </c>
      <c r="F46" t="s">
        <v>2009</v>
      </c>
      <c r="G46" t="s">
        <v>2010</v>
      </c>
      <c r="H46" t="str">
        <f t="shared" si="3"/>
        <v>805577</v>
      </c>
      <c r="M46" t="s">
        <v>193</v>
      </c>
      <c r="N46">
        <v>199</v>
      </c>
      <c r="O46" t="s">
        <v>2</v>
      </c>
      <c r="P46">
        <v>2262.160682754562</v>
      </c>
      <c r="Q46">
        <v>450169.97586815781</v>
      </c>
    </row>
    <row r="47" spans="1:17" x14ac:dyDescent="0.35">
      <c r="A47" t="s">
        <v>958</v>
      </c>
      <c r="B47" t="str">
        <f t="shared" si="0"/>
        <v>Камера видеонаблюдения</v>
      </c>
      <c r="C47" t="str">
        <f t="shared" si="1"/>
        <v xml:space="preserve"> h4l6gr2</v>
      </c>
      <c r="D47" t="str">
        <f t="shared" si="2"/>
        <v>6</v>
      </c>
      <c r="E47" t="s">
        <v>1678</v>
      </c>
      <c r="F47" t="s">
        <v>2011</v>
      </c>
      <c r="G47" t="s">
        <v>1955</v>
      </c>
      <c r="H47" t="str">
        <f t="shared" si="3"/>
        <v>h4l6gr2</v>
      </c>
      <c r="M47" t="s">
        <v>959</v>
      </c>
      <c r="N47">
        <v>6</v>
      </c>
      <c r="O47" t="s">
        <v>2</v>
      </c>
      <c r="P47">
        <v>72974.833333333328</v>
      </c>
      <c r="Q47">
        <v>437849</v>
      </c>
    </row>
    <row r="48" spans="1:17" x14ac:dyDescent="0.35">
      <c r="A48" t="s">
        <v>960</v>
      </c>
      <c r="B48" t="str">
        <f t="shared" si="0"/>
        <v>ACCESS BEAM CONV/L REFLECTOR 75M-100M</v>
      </c>
      <c r="C48" t="str">
        <f t="shared" si="1"/>
        <v xml:space="preserve"> 6500-LRK</v>
      </c>
      <c r="D48" t="str">
        <f t="shared" si="2"/>
        <v>41</v>
      </c>
      <c r="E48" t="s">
        <v>1679</v>
      </c>
      <c r="F48" t="s">
        <v>2012</v>
      </c>
      <c r="G48" t="s">
        <v>2013</v>
      </c>
      <c r="H48" t="str">
        <f t="shared" si="3"/>
        <v>6500-LRK</v>
      </c>
      <c r="M48" t="s">
        <v>961</v>
      </c>
      <c r="N48">
        <v>41</v>
      </c>
      <c r="O48" t="s">
        <v>2</v>
      </c>
      <c r="P48">
        <v>10517.90909090909</v>
      </c>
      <c r="Q48">
        <v>431234.27272727271</v>
      </c>
    </row>
    <row r="49" spans="1:17" x14ac:dyDescent="0.35">
      <c r="A49" t="s">
        <v>962</v>
      </c>
      <c r="B49" t="str">
        <f t="shared" si="0"/>
        <v>Network card essernet module</v>
      </c>
      <c r="C49" t="str">
        <f t="shared" si="1"/>
        <v xml:space="preserve"> FX808341</v>
      </c>
      <c r="D49" t="str">
        <f t="shared" si="2"/>
        <v>9</v>
      </c>
      <c r="E49" t="s">
        <v>1680</v>
      </c>
      <c r="F49" t="s">
        <v>2014</v>
      </c>
      <c r="G49" t="s">
        <v>1984</v>
      </c>
      <c r="H49" t="str">
        <f t="shared" si="3"/>
        <v>FX808341</v>
      </c>
      <c r="M49" t="s">
        <v>44</v>
      </c>
      <c r="N49">
        <v>9</v>
      </c>
      <c r="O49" t="s">
        <v>2</v>
      </c>
      <c r="P49">
        <v>46493.90625</v>
      </c>
      <c r="Q49">
        <v>418445.15625</v>
      </c>
    </row>
    <row r="50" spans="1:17" x14ac:dyDescent="0.35">
      <c r="A50" t="s">
        <v>963</v>
      </c>
      <c r="B50" t="str">
        <f t="shared" si="0"/>
        <v>Наушники противошумные EARMUFF-LEIGHTNG L1H HV Hi-Vis</v>
      </c>
      <c r="C50" t="str">
        <f t="shared" si="1"/>
        <v xml:space="preserve"> 1015021</v>
      </c>
      <c r="D50" t="str">
        <f t="shared" si="2"/>
        <v>332</v>
      </c>
      <c r="E50" t="s">
        <v>1681</v>
      </c>
      <c r="F50" t="s">
        <v>2015</v>
      </c>
      <c r="G50" t="s">
        <v>2016</v>
      </c>
      <c r="H50" t="str">
        <f t="shared" si="3"/>
        <v>1015021</v>
      </c>
      <c r="M50" t="s">
        <v>964</v>
      </c>
      <c r="N50">
        <v>332</v>
      </c>
      <c r="O50" t="s">
        <v>2</v>
      </c>
      <c r="P50">
        <v>1254.5</v>
      </c>
      <c r="Q50">
        <v>416494</v>
      </c>
    </row>
    <row r="51" spans="1:17" x14ac:dyDescent="0.35">
      <c r="A51" t="s">
        <v>965</v>
      </c>
      <c r="B51" t="str">
        <f t="shared" si="0"/>
        <v>Извещатель Optical smoke detector</v>
      </c>
      <c r="C51" t="str">
        <f t="shared" si="1"/>
        <v xml:space="preserve"> 802371</v>
      </c>
      <c r="D51" t="str">
        <f t="shared" si="2"/>
        <v>61</v>
      </c>
      <c r="E51" t="s">
        <v>1650</v>
      </c>
      <c r="F51" t="s">
        <v>1936</v>
      </c>
      <c r="G51" t="s">
        <v>2017</v>
      </c>
      <c r="H51" t="str">
        <f t="shared" si="3"/>
        <v>802371</v>
      </c>
      <c r="M51" t="s">
        <v>900</v>
      </c>
      <c r="N51">
        <v>61</v>
      </c>
      <c r="O51" t="s">
        <v>5</v>
      </c>
      <c r="P51">
        <v>6535.7600055393987</v>
      </c>
      <c r="Q51">
        <v>398681.36033790332</v>
      </c>
    </row>
    <row r="52" spans="1:17" x14ac:dyDescent="0.35">
      <c r="A52" t="s">
        <v>966</v>
      </c>
      <c r="B52" t="str">
        <f t="shared" si="0"/>
        <v>Amplifier 4XD500, Version 1.1</v>
      </c>
      <c r="C52" t="str">
        <f t="shared" si="1"/>
        <v xml:space="preserve"> 580249.11</v>
      </c>
      <c r="D52" t="str">
        <f t="shared" si="2"/>
        <v>1</v>
      </c>
      <c r="E52" t="s">
        <v>1953</v>
      </c>
      <c r="F52" t="s">
        <v>1954</v>
      </c>
      <c r="G52" t="s">
        <v>1996</v>
      </c>
      <c r="H52" t="str">
        <f t="shared" si="3"/>
        <v>580249.11</v>
      </c>
      <c r="M52" t="s">
        <v>914</v>
      </c>
      <c r="N52">
        <v>1</v>
      </c>
      <c r="O52" t="s">
        <v>5</v>
      </c>
      <c r="P52">
        <v>376592.4375</v>
      </c>
      <c r="Q52">
        <v>376592.4375</v>
      </c>
    </row>
    <row r="53" spans="1:17" x14ac:dyDescent="0.35">
      <c r="A53" t="s">
        <v>967</v>
      </c>
      <c r="B53" t="str">
        <f t="shared" si="0"/>
        <v>304L CORDED EARPLUG 1CS=500PAIRS</v>
      </c>
      <c r="C53" t="str">
        <f t="shared" si="1"/>
        <v xml:space="preserve"> 1000106</v>
      </c>
      <c r="D53" t="str">
        <f t="shared" si="2"/>
        <v>28</v>
      </c>
      <c r="E53" t="s">
        <v>1682</v>
      </c>
      <c r="F53" t="s">
        <v>2018</v>
      </c>
      <c r="G53" t="s">
        <v>1980</v>
      </c>
      <c r="H53" t="str">
        <f t="shared" si="3"/>
        <v>1000106</v>
      </c>
      <c r="M53" t="s">
        <v>968</v>
      </c>
      <c r="N53">
        <v>28</v>
      </c>
      <c r="O53" t="s">
        <v>5</v>
      </c>
      <c r="P53">
        <v>13095</v>
      </c>
      <c r="Q53">
        <v>366660</v>
      </c>
    </row>
    <row r="54" spans="1:17" x14ac:dyDescent="0.35">
      <c r="A54" t="s">
        <v>969</v>
      </c>
      <c r="B54" t="str">
        <f t="shared" si="0"/>
        <v>Bus transponder IQ8FCT LP</v>
      </c>
      <c r="C54" t="str">
        <f t="shared" si="1"/>
        <v xml:space="preserve"> 808621</v>
      </c>
      <c r="D54" t="str">
        <f t="shared" si="2"/>
        <v>28</v>
      </c>
      <c r="E54" t="s">
        <v>1683</v>
      </c>
      <c r="F54" t="s">
        <v>1962</v>
      </c>
      <c r="G54" t="s">
        <v>1980</v>
      </c>
      <c r="H54" t="str">
        <f t="shared" si="3"/>
        <v>808621</v>
      </c>
      <c r="M54" t="s">
        <v>112</v>
      </c>
      <c r="N54">
        <v>28</v>
      </c>
      <c r="O54" t="s">
        <v>2</v>
      </c>
      <c r="P54">
        <v>12605.11955241461</v>
      </c>
      <c r="Q54">
        <v>352943.34746760898</v>
      </c>
    </row>
    <row r="55" spans="1:17" x14ac:dyDescent="0.35">
      <c r="A55" t="s">
        <v>970</v>
      </c>
      <c r="B55" t="str">
        <f t="shared" si="0"/>
        <v>SPERIAN Titan 2-Point Harness W/Belt</v>
      </c>
      <c r="C55" t="str">
        <f t="shared" si="1"/>
        <v xml:space="preserve"> 1011894-RU</v>
      </c>
      <c r="D55" t="str">
        <f t="shared" si="2"/>
        <v>127</v>
      </c>
      <c r="E55" t="s">
        <v>1684</v>
      </c>
      <c r="F55" t="s">
        <v>2019</v>
      </c>
      <c r="G55" t="s">
        <v>2020</v>
      </c>
      <c r="H55" t="str">
        <f t="shared" si="3"/>
        <v>1011894-RU</v>
      </c>
      <c r="M55" t="s">
        <v>971</v>
      </c>
      <c r="N55">
        <v>127</v>
      </c>
      <c r="O55" t="s">
        <v>2</v>
      </c>
      <c r="P55">
        <v>2706.3</v>
      </c>
      <c r="Q55">
        <v>343700.1</v>
      </c>
    </row>
    <row r="56" spans="1:17" x14ac:dyDescent="0.35">
      <c r="A56" t="s">
        <v>972</v>
      </c>
      <c r="B56" t="str">
        <f t="shared" si="0"/>
        <v>EARMUFF-LEIGHTNG L1H HV Hi-Vis</v>
      </c>
      <c r="C56" t="str">
        <f t="shared" si="1"/>
        <v xml:space="preserve"> 1015021</v>
      </c>
      <c r="D56" t="str">
        <f t="shared" si="2"/>
        <v>268</v>
      </c>
      <c r="E56" t="s">
        <v>1685</v>
      </c>
      <c r="F56" t="s">
        <v>2015</v>
      </c>
      <c r="G56" t="s">
        <v>2021</v>
      </c>
      <c r="H56" t="str">
        <f t="shared" si="3"/>
        <v>1015021</v>
      </c>
      <c r="M56" t="s">
        <v>964</v>
      </c>
      <c r="N56">
        <v>268</v>
      </c>
      <c r="O56" t="s">
        <v>2</v>
      </c>
      <c r="P56">
        <v>1254.5</v>
      </c>
      <c r="Q56">
        <v>336206</v>
      </c>
    </row>
    <row r="57" spans="1:17" x14ac:dyDescent="0.35">
      <c r="A57" t="s">
        <v>973</v>
      </c>
      <c r="B57" t="str">
        <f t="shared" si="0"/>
        <v>SPERIAN TITAN 1Point Harness W/Belt</v>
      </c>
      <c r="C57" t="str">
        <f t="shared" si="1"/>
        <v xml:space="preserve"> 1011893-RU</v>
      </c>
      <c r="D57" t="str">
        <f t="shared" si="2"/>
        <v>135</v>
      </c>
      <c r="E57" t="s">
        <v>1686</v>
      </c>
      <c r="F57" t="s">
        <v>2022</v>
      </c>
      <c r="G57" t="s">
        <v>2023</v>
      </c>
      <c r="H57" t="str">
        <f t="shared" si="3"/>
        <v>1011893-RU</v>
      </c>
      <c r="M57" t="s">
        <v>974</v>
      </c>
      <c r="N57">
        <v>135</v>
      </c>
      <c r="O57" t="s">
        <v>5</v>
      </c>
      <c r="P57">
        <v>2447.9636363636359</v>
      </c>
      <c r="Q57">
        <v>330475.09090909088</v>
      </c>
    </row>
    <row r="58" spans="1:17" x14ac:dyDescent="0.35">
      <c r="A58" t="s">
        <v>975</v>
      </c>
      <c r="B58" t="str">
        <f t="shared" si="0"/>
        <v>RECESS MOUNT KIT FOR DETECTORS - IVORY</v>
      </c>
      <c r="C58" t="str">
        <f t="shared" si="1"/>
        <v xml:space="preserve"> RMK400AP-IV</v>
      </c>
      <c r="D58" t="str">
        <f t="shared" si="2"/>
        <v>942</v>
      </c>
      <c r="E58" t="s">
        <v>1687</v>
      </c>
      <c r="F58" t="s">
        <v>2024</v>
      </c>
      <c r="G58" t="s">
        <v>2025</v>
      </c>
      <c r="H58" t="str">
        <f t="shared" si="3"/>
        <v>RMK400AP-IV</v>
      </c>
      <c r="M58" t="s">
        <v>976</v>
      </c>
      <c r="N58">
        <v>942</v>
      </c>
      <c r="O58" t="s">
        <v>2</v>
      </c>
      <c r="P58">
        <v>349.19986979166669</v>
      </c>
      <c r="Q58">
        <v>328946.27734375</v>
      </c>
    </row>
    <row r="59" spans="1:17" x14ac:dyDescent="0.35">
      <c r="A59" t="s">
        <v>977</v>
      </c>
      <c r="B59" t="str">
        <f t="shared" si="0"/>
        <v>Display and operating unit w.</v>
      </c>
      <c r="C59" t="str">
        <f t="shared" si="1"/>
        <v xml:space="preserve"> FX808324</v>
      </c>
      <c r="D59" t="str">
        <f t="shared" si="2"/>
        <v>3</v>
      </c>
      <c r="E59" t="s">
        <v>1662</v>
      </c>
      <c r="F59" t="s">
        <v>1971</v>
      </c>
      <c r="G59" t="s">
        <v>2026</v>
      </c>
      <c r="H59" t="str">
        <f t="shared" si="3"/>
        <v>FX808324</v>
      </c>
      <c r="M59" t="s">
        <v>785</v>
      </c>
      <c r="N59">
        <v>3</v>
      </c>
      <c r="O59" t="s">
        <v>2</v>
      </c>
      <c r="P59">
        <v>102708.27272727271</v>
      </c>
      <c r="Q59">
        <v>308124.81818181818</v>
      </c>
    </row>
    <row r="60" spans="1:17" x14ac:dyDescent="0.35">
      <c r="A60" t="s">
        <v>146</v>
      </c>
      <c r="B60" t="str">
        <f t="shared" si="0"/>
        <v>MASTER HANDSET DESK MOUNTED</v>
      </c>
      <c r="C60" t="str">
        <f t="shared" si="1"/>
        <v xml:space="preserve"> EVCS-MS</v>
      </c>
      <c r="D60" t="str">
        <f t="shared" si="2"/>
        <v>1</v>
      </c>
      <c r="E60" t="s">
        <v>1688</v>
      </c>
      <c r="F60" t="s">
        <v>2027</v>
      </c>
      <c r="G60" t="s">
        <v>1996</v>
      </c>
      <c r="H60" t="str">
        <f t="shared" si="3"/>
        <v>EVCS-MS</v>
      </c>
      <c r="M60" t="s">
        <v>147</v>
      </c>
      <c r="N60">
        <v>1</v>
      </c>
      <c r="O60" t="s">
        <v>5</v>
      </c>
      <c r="P60">
        <v>262764</v>
      </c>
      <c r="Q60">
        <v>262764</v>
      </c>
    </row>
    <row r="61" spans="1:17" x14ac:dyDescent="0.35">
      <c r="A61" t="s">
        <v>978</v>
      </c>
      <c r="B61" t="str">
        <f t="shared" si="0"/>
        <v>Пистолетная рукоять для ТСД KIT, SH, EDA61K</v>
      </c>
      <c r="C61" t="str">
        <f t="shared" si="1"/>
        <v xml:space="preserve"> EDA61K-SH-DC</v>
      </c>
      <c r="D61" t="str">
        <f t="shared" si="2"/>
        <v>25</v>
      </c>
      <c r="E61" t="s">
        <v>2028</v>
      </c>
      <c r="F61" t="s">
        <v>2029</v>
      </c>
      <c r="G61" t="s">
        <v>2030</v>
      </c>
      <c r="H61" t="str">
        <f t="shared" si="3"/>
        <v>EDA61K-SH-DC</v>
      </c>
      <c r="M61" t="s">
        <v>979</v>
      </c>
      <c r="N61">
        <v>25</v>
      </c>
      <c r="O61" t="s">
        <v>2</v>
      </c>
      <c r="P61">
        <v>10226.32</v>
      </c>
      <c r="Q61">
        <v>255658</v>
      </c>
    </row>
    <row r="62" spans="1:17" x14ac:dyDescent="0.35">
      <c r="A62" t="s">
        <v>980</v>
      </c>
      <c r="B62" t="str">
        <f t="shared" si="0"/>
        <v>Power supply extension</v>
      </c>
      <c r="C62" t="str">
        <f t="shared" si="1"/>
        <v xml:space="preserve"> FX808364</v>
      </c>
      <c r="D62" t="str">
        <f t="shared" si="2"/>
        <v>5</v>
      </c>
      <c r="E62" t="s">
        <v>1674</v>
      </c>
      <c r="F62" t="s">
        <v>2031</v>
      </c>
      <c r="G62" t="s">
        <v>1967</v>
      </c>
      <c r="H62" t="str">
        <f t="shared" si="3"/>
        <v>FX808364</v>
      </c>
      <c r="M62" t="s">
        <v>411</v>
      </c>
      <c r="N62">
        <v>5</v>
      </c>
      <c r="O62" t="s">
        <v>5</v>
      </c>
      <c r="P62">
        <v>47623</v>
      </c>
      <c r="Q62">
        <v>238115</v>
      </c>
    </row>
    <row r="63" spans="1:17" x14ac:dyDescent="0.35">
      <c r="A63" t="s">
        <v>981</v>
      </c>
      <c r="B63" t="str">
        <f t="shared" si="0"/>
        <v>INWL01c, MODULE, WLAN, 802.11 B,G,N,BT</v>
      </c>
      <c r="C63" t="str">
        <f t="shared" si="1"/>
        <v xml:space="preserve"> 203-183-420</v>
      </c>
      <c r="D63" t="str">
        <f t="shared" si="2"/>
        <v>200</v>
      </c>
      <c r="E63" t="s">
        <v>2032</v>
      </c>
      <c r="F63" t="s">
        <v>2033</v>
      </c>
      <c r="G63" t="s">
        <v>1983</v>
      </c>
      <c r="H63" t="str">
        <f t="shared" si="3"/>
        <v>203-183-420</v>
      </c>
      <c r="M63" t="s">
        <v>982</v>
      </c>
      <c r="N63">
        <v>200</v>
      </c>
      <c r="O63" t="s">
        <v>2</v>
      </c>
      <c r="P63">
        <v>1084.158139534884</v>
      </c>
      <c r="Q63">
        <v>216831.6279069767</v>
      </c>
    </row>
    <row r="64" spans="1:17" x14ac:dyDescent="0.35">
      <c r="A64" t="s">
        <v>983</v>
      </c>
      <c r="B64" t="str">
        <f t="shared" si="0"/>
        <v>IQ8MCP electronic module, 85319000</v>
      </c>
      <c r="C64" t="str">
        <f t="shared" si="1"/>
        <v xml:space="preserve"> 804905</v>
      </c>
      <c r="D64" t="str">
        <f t="shared" si="2"/>
        <v>30</v>
      </c>
      <c r="E64" t="s">
        <v>2034</v>
      </c>
      <c r="F64" t="s">
        <v>2035</v>
      </c>
      <c r="G64" t="s">
        <v>2000</v>
      </c>
      <c r="H64" t="str">
        <f t="shared" si="3"/>
        <v>804905</v>
      </c>
      <c r="M64" t="s">
        <v>80</v>
      </c>
      <c r="N64">
        <v>30</v>
      </c>
      <c r="O64" t="s">
        <v>5</v>
      </c>
      <c r="P64">
        <v>6387.9232995658467</v>
      </c>
      <c r="Q64">
        <v>191637.69898697539</v>
      </c>
    </row>
    <row r="65" spans="1:17" x14ac:dyDescent="0.35">
      <c r="A65" t="s">
        <v>984</v>
      </c>
      <c r="B65" t="str">
        <f t="shared" si="0"/>
        <v>5 x IP65 DEEP BASE-RED</v>
      </c>
      <c r="C65" t="str">
        <f t="shared" si="1"/>
        <v xml:space="preserve"> CWR</v>
      </c>
      <c r="D65" t="str">
        <f t="shared" si="2"/>
        <v>78</v>
      </c>
      <c r="E65" t="s">
        <v>1689</v>
      </c>
      <c r="F65" t="s">
        <v>2036</v>
      </c>
      <c r="G65" t="s">
        <v>2037</v>
      </c>
      <c r="H65" t="str">
        <f t="shared" si="3"/>
        <v>CWR</v>
      </c>
      <c r="M65" t="s">
        <v>985</v>
      </c>
      <c r="N65">
        <v>78</v>
      </c>
      <c r="O65" t="s">
        <v>2</v>
      </c>
      <c r="P65">
        <v>2034.0897435897441</v>
      </c>
      <c r="Q65">
        <v>158659</v>
      </c>
    </row>
    <row r="66" spans="1:17" x14ac:dyDescent="0.35">
      <c r="A66" t="s">
        <v>986</v>
      </c>
      <c r="B66" t="str">
        <f t="shared" si="0"/>
        <v>Label plate detector base (PAC of 10)</v>
      </c>
      <c r="C66" t="str">
        <f t="shared" si="1"/>
        <v xml:space="preserve"> 805576</v>
      </c>
      <c r="D66" t="str">
        <f t="shared" si="2"/>
        <v>76</v>
      </c>
      <c r="E66" t="s">
        <v>1690</v>
      </c>
      <c r="F66" t="s">
        <v>2038</v>
      </c>
      <c r="G66" t="s">
        <v>2039</v>
      </c>
      <c r="H66" t="str">
        <f t="shared" si="3"/>
        <v>805576</v>
      </c>
      <c r="M66" t="s">
        <v>987</v>
      </c>
      <c r="N66">
        <v>76</v>
      </c>
      <c r="O66" t="s">
        <v>5</v>
      </c>
      <c r="P66">
        <v>2057.9629080118689</v>
      </c>
      <c r="Q66">
        <v>156405.18100890209</v>
      </c>
    </row>
    <row r="67" spans="1:17" x14ac:dyDescent="0.35">
      <c r="A67" t="s">
        <v>988</v>
      </c>
      <c r="B67" t="str">
        <f t="shared" ref="B67:B130" si="4">LEFT(A67,FIND("модель/артикул",A67)-3)</f>
        <v>Power supply extension</v>
      </c>
      <c r="C67" t="str">
        <f t="shared" ref="C67:C130" si="5">MID(A67,FIND("модель/артикул",A67)+14,FIND("кол-во",A67)-FIND("модель/артикул",A67)-16)</f>
        <v xml:space="preserve"> FX808363</v>
      </c>
      <c r="D67" t="str">
        <f t="shared" ref="D67:D130" si="6">MID(A67,FIND("кол-во",A67)+7,LEN(A67))</f>
        <v>4</v>
      </c>
      <c r="E67" t="s">
        <v>1674</v>
      </c>
      <c r="F67" t="s">
        <v>2003</v>
      </c>
      <c r="G67" t="s">
        <v>2040</v>
      </c>
      <c r="H67" t="str">
        <f t="shared" ref="H67:H130" si="7">TRIM(F67)</f>
        <v>FX808363</v>
      </c>
      <c r="M67" t="s">
        <v>952</v>
      </c>
      <c r="N67">
        <v>4</v>
      </c>
      <c r="O67" t="s">
        <v>5</v>
      </c>
      <c r="P67">
        <v>38408.480446927373</v>
      </c>
      <c r="Q67">
        <v>153633.92178770949</v>
      </c>
    </row>
    <row r="68" spans="1:17" x14ac:dyDescent="0.35">
      <c r="A68" t="s">
        <v>989</v>
      </c>
      <c r="B68" t="str">
        <f t="shared" si="4"/>
        <v>База извещателя Standard detector base for</v>
      </c>
      <c r="C68" t="str">
        <f t="shared" si="5"/>
        <v xml:space="preserve"> 805590</v>
      </c>
      <c r="D68" t="str">
        <f t="shared" si="6"/>
        <v>179</v>
      </c>
      <c r="E68" t="s">
        <v>1657</v>
      </c>
      <c r="F68" t="s">
        <v>1956</v>
      </c>
      <c r="G68" t="s">
        <v>2041</v>
      </c>
      <c r="H68" t="str">
        <f t="shared" si="7"/>
        <v>805590</v>
      </c>
      <c r="M68" t="s">
        <v>677</v>
      </c>
      <c r="N68">
        <v>179</v>
      </c>
      <c r="O68" t="s">
        <v>5</v>
      </c>
      <c r="P68">
        <v>810.27679488642843</v>
      </c>
      <c r="Q68">
        <v>145039.54628467071</v>
      </c>
    </row>
    <row r="69" spans="1:17" x14ac:dyDescent="0.35">
      <c r="A69" t="s">
        <v>990</v>
      </c>
      <c r="B69" t="str">
        <f t="shared" si="4"/>
        <v>База извещателя Standard detector base for</v>
      </c>
      <c r="C69" t="str">
        <f t="shared" si="5"/>
        <v xml:space="preserve"> 805590</v>
      </c>
      <c r="D69" t="str">
        <f t="shared" si="6"/>
        <v>176</v>
      </c>
      <c r="E69" t="s">
        <v>1657</v>
      </c>
      <c r="F69" t="s">
        <v>1956</v>
      </c>
      <c r="G69" t="s">
        <v>2042</v>
      </c>
      <c r="H69" t="str">
        <f t="shared" si="7"/>
        <v>805590</v>
      </c>
      <c r="M69" t="s">
        <v>677</v>
      </c>
      <c r="N69">
        <v>176</v>
      </c>
      <c r="O69" t="s">
        <v>5</v>
      </c>
      <c r="P69">
        <v>810.27679488642843</v>
      </c>
      <c r="Q69">
        <v>142608.71590001139</v>
      </c>
    </row>
    <row r="70" spans="1:17" x14ac:dyDescent="0.35">
      <c r="A70" t="s">
        <v>991</v>
      </c>
      <c r="B70" t="str">
        <f t="shared" si="4"/>
        <v>STRAALH.COMMMK2, BISON., STAND.</v>
      </c>
      <c r="C70" t="str">
        <f t="shared" si="5"/>
        <v xml:space="preserve"> A133230-00</v>
      </c>
      <c r="D70" t="str">
        <f t="shared" si="6"/>
        <v>6</v>
      </c>
      <c r="E70" t="s">
        <v>2043</v>
      </c>
      <c r="F70" t="s">
        <v>2044</v>
      </c>
      <c r="G70" t="s">
        <v>1955</v>
      </c>
      <c r="H70" t="str">
        <f t="shared" si="7"/>
        <v>A133230-00</v>
      </c>
      <c r="M70" t="s">
        <v>992</v>
      </c>
      <c r="N70">
        <v>6</v>
      </c>
      <c r="O70" t="s">
        <v>2</v>
      </c>
      <c r="P70">
        <v>23011.392156862741</v>
      </c>
      <c r="Q70">
        <v>138068.3529411765</v>
      </c>
    </row>
    <row r="71" spans="1:17" x14ac:dyDescent="0.35">
      <c r="A71" t="s">
        <v>993</v>
      </c>
      <c r="B71" t="str">
        <f t="shared" si="4"/>
        <v>6 W Cabinet loudspeaker</v>
      </c>
      <c r="C71" t="str">
        <f t="shared" si="5"/>
        <v xml:space="preserve"> 581270</v>
      </c>
      <c r="D71" t="str">
        <f t="shared" si="6"/>
        <v>57</v>
      </c>
      <c r="E71" t="s">
        <v>1691</v>
      </c>
      <c r="F71" t="s">
        <v>2045</v>
      </c>
      <c r="G71" t="s">
        <v>2046</v>
      </c>
      <c r="H71" t="str">
        <f t="shared" si="7"/>
        <v>581270</v>
      </c>
      <c r="M71" t="s">
        <v>856</v>
      </c>
      <c r="N71">
        <v>57</v>
      </c>
      <c r="O71" t="s">
        <v>2</v>
      </c>
      <c r="P71">
        <v>2242.247422680412</v>
      </c>
      <c r="Q71">
        <v>127808.10309278349</v>
      </c>
    </row>
    <row r="72" spans="1:17" x14ac:dyDescent="0.35">
      <c r="A72" t="s">
        <v>239</v>
      </c>
      <c r="B72" t="str">
        <f t="shared" si="4"/>
        <v>Digital Call Station DCS Plus</v>
      </c>
      <c r="C72" t="str">
        <f t="shared" si="5"/>
        <v xml:space="preserve"> 583520</v>
      </c>
      <c r="D72" t="str">
        <f t="shared" si="6"/>
        <v>1</v>
      </c>
      <c r="E72" t="s">
        <v>1692</v>
      </c>
      <c r="F72" t="s">
        <v>1951</v>
      </c>
      <c r="G72" t="s">
        <v>1996</v>
      </c>
      <c r="H72" t="str">
        <f t="shared" si="7"/>
        <v>583520</v>
      </c>
      <c r="M72" t="s">
        <v>118</v>
      </c>
      <c r="N72">
        <v>1</v>
      </c>
      <c r="O72" t="s">
        <v>5</v>
      </c>
      <c r="P72">
        <v>126089.9310344828</v>
      </c>
      <c r="Q72">
        <v>126089.9310344828</v>
      </c>
    </row>
    <row r="73" spans="1:17" x14ac:dyDescent="0.35">
      <c r="A73" t="s">
        <v>994</v>
      </c>
      <c r="B73" t="str">
        <f t="shared" si="4"/>
        <v>LED panel 65UL3J-E</v>
      </c>
      <c r="C73" t="str">
        <f t="shared" si="5"/>
        <v xml:space="preserve"> 65UL3J</v>
      </c>
      <c r="D73" t="str">
        <f t="shared" si="6"/>
        <v>1</v>
      </c>
      <c r="E73" t="s">
        <v>1693</v>
      </c>
      <c r="F73" t="s">
        <v>2047</v>
      </c>
      <c r="G73" t="s">
        <v>1996</v>
      </c>
      <c r="H73" t="str">
        <f t="shared" si="7"/>
        <v>65UL3J</v>
      </c>
      <c r="M73" t="s">
        <v>995</v>
      </c>
      <c r="N73">
        <v>1</v>
      </c>
      <c r="O73" t="s">
        <v>5</v>
      </c>
      <c r="P73">
        <v>122100</v>
      </c>
      <c r="Q73">
        <v>122100</v>
      </c>
    </row>
    <row r="74" spans="1:17" x14ac:dyDescent="0.35">
      <c r="A74" t="s">
        <v>996</v>
      </c>
      <c r="B74" t="str">
        <f t="shared" si="4"/>
        <v>BS 420G2. AUTRONICA FIRE AND SECURITY AS.</v>
      </c>
      <c r="C74" t="str">
        <f t="shared" si="5"/>
        <v xml:space="preserve"> bs-420g2</v>
      </c>
      <c r="D74" t="str">
        <f t="shared" si="6"/>
        <v>1</v>
      </c>
      <c r="E74" t="s">
        <v>1694</v>
      </c>
      <c r="F74" t="s">
        <v>2048</v>
      </c>
      <c r="G74" t="s">
        <v>1996</v>
      </c>
      <c r="H74" t="str">
        <f t="shared" si="7"/>
        <v>bs-420g2</v>
      </c>
      <c r="M74" t="s">
        <v>997</v>
      </c>
      <c r="N74">
        <v>1</v>
      </c>
      <c r="O74" t="s">
        <v>871</v>
      </c>
      <c r="P74">
        <v>117501</v>
      </c>
      <c r="Q74">
        <v>117501</v>
      </c>
    </row>
    <row r="75" spans="1:17" x14ac:dyDescent="0.35">
      <c r="A75" t="s">
        <v>998</v>
      </c>
      <c r="B75" t="str">
        <f t="shared" si="4"/>
        <v>FlexES additional housing</v>
      </c>
      <c r="C75" t="str">
        <f t="shared" si="5"/>
        <v xml:space="preserve"> FX808338</v>
      </c>
      <c r="D75" t="str">
        <f t="shared" si="6"/>
        <v>10</v>
      </c>
      <c r="E75" t="s">
        <v>1695</v>
      </c>
      <c r="F75" t="s">
        <v>2049</v>
      </c>
      <c r="G75" t="s">
        <v>2050</v>
      </c>
      <c r="H75" t="str">
        <f t="shared" si="7"/>
        <v>FX808338</v>
      </c>
      <c r="M75" t="s">
        <v>999</v>
      </c>
      <c r="N75">
        <v>10</v>
      </c>
      <c r="O75" t="s">
        <v>2</v>
      </c>
      <c r="P75">
        <v>11552.384615384621</v>
      </c>
      <c r="Q75">
        <v>115523.8461538462</v>
      </c>
    </row>
    <row r="76" spans="1:17" x14ac:dyDescent="0.35">
      <c r="A76" t="s">
        <v>1000</v>
      </c>
      <c r="B76" t="str">
        <f t="shared" si="4"/>
        <v>6 W Ceiling loudspeaker</v>
      </c>
      <c r="C76" t="str">
        <f t="shared" si="5"/>
        <v xml:space="preserve"> 581263</v>
      </c>
      <c r="D76" t="str">
        <f t="shared" si="6"/>
        <v>85</v>
      </c>
      <c r="E76" t="s">
        <v>1696</v>
      </c>
      <c r="F76" t="s">
        <v>2051</v>
      </c>
      <c r="G76" t="s">
        <v>2052</v>
      </c>
      <c r="H76" t="str">
        <f t="shared" si="7"/>
        <v>581263</v>
      </c>
      <c r="M76" t="s">
        <v>1001</v>
      </c>
      <c r="N76">
        <v>85</v>
      </c>
      <c r="O76" t="s">
        <v>5</v>
      </c>
      <c r="P76">
        <v>1324.2940206185569</v>
      </c>
      <c r="Q76">
        <v>112564.99175257731</v>
      </c>
    </row>
    <row r="77" spans="1:17" x14ac:dyDescent="0.35">
      <c r="A77" t="s">
        <v>1002</v>
      </c>
      <c r="B77" t="str">
        <f t="shared" si="4"/>
        <v>MCP-PRO-M Conventional</v>
      </c>
      <c r="C77" t="str">
        <f t="shared" si="5"/>
        <v xml:space="preserve"> MCP-PRO-M</v>
      </c>
      <c r="D77" t="str">
        <f t="shared" si="6"/>
        <v>150</v>
      </c>
      <c r="E77" t="s">
        <v>1697</v>
      </c>
      <c r="F77" t="s">
        <v>2053</v>
      </c>
      <c r="G77" t="s">
        <v>2054</v>
      </c>
      <c r="H77" t="str">
        <f t="shared" si="7"/>
        <v>MCP-PRO-M</v>
      </c>
      <c r="M77" t="s">
        <v>1003</v>
      </c>
      <c r="N77">
        <v>150</v>
      </c>
      <c r="O77" t="s">
        <v>2</v>
      </c>
      <c r="P77">
        <v>607.20000000000005</v>
      </c>
      <c r="Q77">
        <v>91080</v>
      </c>
    </row>
    <row r="78" spans="1:17" x14ac:dyDescent="0.35">
      <c r="A78" t="s">
        <v>1004</v>
      </c>
      <c r="B78" t="str">
        <f t="shared" si="4"/>
        <v>Cable duct</v>
      </c>
      <c r="C78" t="str">
        <f t="shared" si="5"/>
        <v xml:space="preserve"> 3240348</v>
      </c>
      <c r="D78" t="str">
        <f t="shared" si="6"/>
        <v>22</v>
      </c>
      <c r="E78" t="s">
        <v>1698</v>
      </c>
      <c r="F78" t="s">
        <v>2055</v>
      </c>
      <c r="G78" t="s">
        <v>2056</v>
      </c>
      <c r="H78" t="str">
        <f t="shared" si="7"/>
        <v>3240348</v>
      </c>
      <c r="M78" t="s">
        <v>1005</v>
      </c>
      <c r="N78">
        <v>22</v>
      </c>
      <c r="O78" t="s">
        <v>2</v>
      </c>
      <c r="P78">
        <v>3818.363636363636</v>
      </c>
      <c r="Q78">
        <v>84004</v>
      </c>
    </row>
    <row r="79" spans="1:17" x14ac:dyDescent="0.35">
      <c r="A79" t="s">
        <v>1006</v>
      </c>
      <c r="B79" t="str">
        <f t="shared" si="4"/>
        <v>Монтажный корпус ANALOGUE I/FACE DET S/S I/FACE MON BOX</v>
      </c>
      <c r="C79" t="str">
        <f t="shared" si="5"/>
        <v xml:space="preserve"> SMB500</v>
      </c>
      <c r="D79" t="str">
        <f t="shared" si="6"/>
        <v>373</v>
      </c>
      <c r="E79" t="s">
        <v>1699</v>
      </c>
      <c r="F79" t="s">
        <v>2057</v>
      </c>
      <c r="G79" t="s">
        <v>2058</v>
      </c>
      <c r="H79" t="str">
        <f t="shared" si="7"/>
        <v>SMB500</v>
      </c>
      <c r="M79" t="s">
        <v>1007</v>
      </c>
      <c r="N79">
        <v>373</v>
      </c>
      <c r="O79" t="s">
        <v>5</v>
      </c>
      <c r="P79">
        <v>218.2493765586035</v>
      </c>
      <c r="Q79">
        <v>81407.017456359099</v>
      </c>
    </row>
    <row r="80" spans="1:17" x14ac:dyDescent="0.35">
      <c r="A80" t="s">
        <v>1008</v>
      </c>
      <c r="B80" t="str">
        <f t="shared" si="4"/>
        <v>Cable duct</v>
      </c>
      <c r="C80" t="str">
        <f t="shared" si="5"/>
        <v xml:space="preserve"> 3240357</v>
      </c>
      <c r="D80" t="str">
        <f t="shared" si="6"/>
        <v>15</v>
      </c>
      <c r="E80" t="s">
        <v>1698</v>
      </c>
      <c r="F80" t="s">
        <v>2059</v>
      </c>
      <c r="G80" t="s">
        <v>1975</v>
      </c>
      <c r="H80" t="str">
        <f t="shared" si="7"/>
        <v>3240357</v>
      </c>
      <c r="M80" t="s">
        <v>1009</v>
      </c>
      <c r="N80">
        <v>15</v>
      </c>
      <c r="O80" t="s">
        <v>2</v>
      </c>
      <c r="P80">
        <v>4618.2105263157891</v>
      </c>
      <c r="Q80">
        <v>69273.15789473684</v>
      </c>
    </row>
    <row r="81" spans="1:17" x14ac:dyDescent="0.35">
      <c r="A81" t="s">
        <v>1010</v>
      </c>
      <c r="B81" t="str">
        <f t="shared" si="4"/>
        <v>6 W Ceiling loudspeaker</v>
      </c>
      <c r="C81" t="str">
        <f t="shared" si="5"/>
        <v xml:space="preserve"> 581263</v>
      </c>
      <c r="D81" t="str">
        <f t="shared" si="6"/>
        <v>50</v>
      </c>
      <c r="E81" t="s">
        <v>1696</v>
      </c>
      <c r="F81" t="s">
        <v>2051</v>
      </c>
      <c r="G81" t="s">
        <v>2060</v>
      </c>
      <c r="H81" t="str">
        <f t="shared" si="7"/>
        <v>581263</v>
      </c>
      <c r="M81" t="s">
        <v>1001</v>
      </c>
      <c r="N81">
        <v>50</v>
      </c>
      <c r="O81" t="s">
        <v>5</v>
      </c>
      <c r="P81">
        <v>1324.2940206185569</v>
      </c>
      <c r="Q81">
        <v>66214.701030927841</v>
      </c>
    </row>
    <row r="82" spans="1:17" x14ac:dyDescent="0.35">
      <c r="A82" t="s">
        <v>1011</v>
      </c>
      <c r="B82" t="str">
        <f t="shared" si="4"/>
        <v>6 W Cabinet loudspeaker</v>
      </c>
      <c r="C82" t="str">
        <f t="shared" si="5"/>
        <v xml:space="preserve"> 581270</v>
      </c>
      <c r="D82" t="str">
        <f t="shared" si="6"/>
        <v>29</v>
      </c>
      <c r="E82" t="s">
        <v>1691</v>
      </c>
      <c r="F82" t="s">
        <v>2045</v>
      </c>
      <c r="G82" t="s">
        <v>2061</v>
      </c>
      <c r="H82" t="str">
        <f t="shared" si="7"/>
        <v>581270</v>
      </c>
      <c r="M82" t="s">
        <v>856</v>
      </c>
      <c r="N82">
        <v>29</v>
      </c>
      <c r="O82" t="s">
        <v>2</v>
      </c>
      <c r="P82">
        <v>2242.247422680412</v>
      </c>
      <c r="Q82">
        <v>65025.175257731957</v>
      </c>
    </row>
    <row r="83" spans="1:17" x14ac:dyDescent="0.35">
      <c r="A83" t="s">
        <v>1012</v>
      </c>
      <c r="B83" t="str">
        <f t="shared" si="4"/>
        <v>Оптический кабель Cable</v>
      </c>
      <c r="C83" t="str">
        <f t="shared" si="5"/>
        <v xml:space="preserve"> CABLE-0.22-8T</v>
      </c>
      <c r="D83" t="str">
        <f t="shared" si="6"/>
        <v>1600</v>
      </c>
      <c r="E83" t="s">
        <v>1700</v>
      </c>
      <c r="F83" t="s">
        <v>2062</v>
      </c>
      <c r="G83" t="s">
        <v>2063</v>
      </c>
      <c r="H83" t="str">
        <f t="shared" si="7"/>
        <v>CABLE-0.22-8T</v>
      </c>
      <c r="M83" t="s">
        <v>1013</v>
      </c>
      <c r="N83">
        <v>1600</v>
      </c>
      <c r="O83" t="s">
        <v>2</v>
      </c>
      <c r="P83">
        <v>38.21125</v>
      </c>
      <c r="Q83">
        <v>61138</v>
      </c>
    </row>
    <row r="84" spans="1:17" x14ac:dyDescent="0.35">
      <c r="A84" t="s">
        <v>1014</v>
      </c>
      <c r="B84" t="str">
        <f t="shared" si="4"/>
        <v>Монитор</v>
      </c>
      <c r="C84" t="str">
        <f t="shared" si="5"/>
        <v xml:space="preserve"> p2213t</v>
      </c>
      <c r="D84" t="str">
        <f t="shared" si="6"/>
        <v>7</v>
      </c>
      <c r="E84" t="s">
        <v>1701</v>
      </c>
      <c r="F84" t="s">
        <v>2064</v>
      </c>
      <c r="G84" t="s">
        <v>2065</v>
      </c>
      <c r="H84" t="str">
        <f t="shared" si="7"/>
        <v>p2213t</v>
      </c>
      <c r="M84" t="s">
        <v>863</v>
      </c>
      <c r="N84">
        <v>7</v>
      </c>
      <c r="O84" t="s">
        <v>864</v>
      </c>
      <c r="P84">
        <v>6683.6184210526317</v>
      </c>
      <c r="Q84">
        <v>46785.32894736842</v>
      </c>
    </row>
    <row r="85" spans="1:17" x14ac:dyDescent="0.35">
      <c r="A85" t="s">
        <v>1015</v>
      </c>
      <c r="B85" t="str">
        <f t="shared" si="4"/>
        <v>DIGITAL MULTI-AUDIO PLAYER, BLUETOOTH</v>
      </c>
      <c r="C85" t="str">
        <f t="shared" si="5"/>
        <v xml:space="preserve"> X-MAP4P</v>
      </c>
      <c r="D85" t="str">
        <f t="shared" si="6"/>
        <v>1</v>
      </c>
      <c r="E85" t="s">
        <v>2066</v>
      </c>
      <c r="F85" t="s">
        <v>2067</v>
      </c>
      <c r="G85" t="s">
        <v>1996</v>
      </c>
      <c r="H85" t="str">
        <f t="shared" si="7"/>
        <v>X-MAP4P</v>
      </c>
      <c r="M85" t="s">
        <v>1016</v>
      </c>
      <c r="N85">
        <v>1</v>
      </c>
      <c r="O85" t="s">
        <v>5</v>
      </c>
      <c r="P85">
        <v>45775</v>
      </c>
      <c r="Q85">
        <v>45775</v>
      </c>
    </row>
    <row r="86" spans="1:17" x14ac:dyDescent="0.35">
      <c r="A86" t="s">
        <v>1017</v>
      </c>
      <c r="B86" t="str">
        <f t="shared" si="4"/>
        <v>Service drawer, 1 HU</v>
      </c>
      <c r="C86" t="str">
        <f t="shared" si="5"/>
        <v xml:space="preserve"> FX808439</v>
      </c>
      <c r="D86" t="str">
        <f t="shared" si="6"/>
        <v>7</v>
      </c>
      <c r="E86" t="s">
        <v>2068</v>
      </c>
      <c r="F86" t="s">
        <v>2069</v>
      </c>
      <c r="G86" t="s">
        <v>2065</v>
      </c>
      <c r="H86" t="str">
        <f t="shared" si="7"/>
        <v>FX808439</v>
      </c>
      <c r="M86" t="s">
        <v>1018</v>
      </c>
      <c r="N86">
        <v>7</v>
      </c>
      <c r="O86" t="s">
        <v>5</v>
      </c>
      <c r="P86">
        <v>6244.5714285714284</v>
      </c>
      <c r="Q86">
        <v>43712</v>
      </c>
    </row>
    <row r="87" spans="1:17" x14ac:dyDescent="0.35">
      <c r="A87" t="s">
        <v>1019</v>
      </c>
      <c r="B87" t="str">
        <f t="shared" si="4"/>
        <v>NS 35/15 WH PERF 2000MM</v>
      </c>
      <c r="C87" t="str">
        <f t="shared" si="5"/>
        <v xml:space="preserve"> 806602</v>
      </c>
      <c r="D87" t="str">
        <f t="shared" si="6"/>
        <v>10</v>
      </c>
      <c r="E87" t="s">
        <v>1702</v>
      </c>
      <c r="F87" t="s">
        <v>2070</v>
      </c>
      <c r="G87" t="s">
        <v>2050</v>
      </c>
      <c r="H87" t="str">
        <f t="shared" si="7"/>
        <v>806602</v>
      </c>
      <c r="M87" t="s">
        <v>1020</v>
      </c>
      <c r="N87">
        <v>10</v>
      </c>
      <c r="O87" t="s">
        <v>2</v>
      </c>
      <c r="P87">
        <v>4188.3</v>
      </c>
      <c r="Q87">
        <v>41883</v>
      </c>
    </row>
    <row r="88" spans="1:17" x14ac:dyDescent="0.35">
      <c r="A88" t="s">
        <v>1021</v>
      </c>
      <c r="B88" t="str">
        <f t="shared" si="4"/>
        <v>Industrial Media Converter, SM, SC</v>
      </c>
      <c r="C88" t="str">
        <f t="shared" si="5"/>
        <v xml:space="preserve"> IMC-101-S-SC</v>
      </c>
      <c r="D88" t="str">
        <f t="shared" si="6"/>
        <v>1</v>
      </c>
      <c r="E88" t="s">
        <v>2071</v>
      </c>
      <c r="F88" t="s">
        <v>2072</v>
      </c>
      <c r="G88" t="s">
        <v>1996</v>
      </c>
      <c r="H88" t="str">
        <f t="shared" si="7"/>
        <v>IMC-101-S-SC</v>
      </c>
      <c r="M88" t="s">
        <v>1022</v>
      </c>
      <c r="N88">
        <v>1</v>
      </c>
      <c r="O88" t="s">
        <v>5</v>
      </c>
      <c r="P88">
        <v>41122.333333333343</v>
      </c>
      <c r="Q88">
        <v>41122.333333333343</v>
      </c>
    </row>
    <row r="89" spans="1:17" x14ac:dyDescent="0.35">
      <c r="A89" t="s">
        <v>1023</v>
      </c>
      <c r="B89" t="str">
        <f t="shared" si="4"/>
        <v>300GB 15K RPM SAS 12Gbps Hard Drive</v>
      </c>
      <c r="C89" t="str">
        <f t="shared" si="5"/>
        <v xml:space="preserve"> 400-ATII</v>
      </c>
      <c r="D89" t="str">
        <f t="shared" si="6"/>
        <v>2</v>
      </c>
      <c r="E89" t="s">
        <v>1703</v>
      </c>
      <c r="F89" t="s">
        <v>2073</v>
      </c>
      <c r="G89" t="s">
        <v>1990</v>
      </c>
      <c r="H89" t="str">
        <f t="shared" si="7"/>
        <v>400-ATII</v>
      </c>
      <c r="M89" t="s">
        <v>1024</v>
      </c>
      <c r="N89">
        <v>2</v>
      </c>
      <c r="O89" t="s">
        <v>2</v>
      </c>
      <c r="P89">
        <v>18259</v>
      </c>
      <c r="Q89">
        <v>36518</v>
      </c>
    </row>
    <row r="90" spans="1:17" x14ac:dyDescent="0.35">
      <c r="A90" t="s">
        <v>1025</v>
      </c>
      <c r="B90" t="str">
        <f t="shared" si="4"/>
        <v>Housing surface-mount, gray</v>
      </c>
      <c r="C90" t="str">
        <f t="shared" si="5"/>
        <v xml:space="preserve"> 788600</v>
      </c>
      <c r="D90" t="str">
        <f t="shared" si="6"/>
        <v>44</v>
      </c>
      <c r="E90" t="s">
        <v>2074</v>
      </c>
      <c r="F90" t="s">
        <v>2075</v>
      </c>
      <c r="G90" t="s">
        <v>2076</v>
      </c>
      <c r="H90" t="str">
        <f t="shared" si="7"/>
        <v>788600</v>
      </c>
      <c r="M90" t="s">
        <v>707</v>
      </c>
      <c r="N90">
        <v>44</v>
      </c>
      <c r="O90" t="s">
        <v>2</v>
      </c>
      <c r="P90">
        <v>806.65277777777783</v>
      </c>
      <c r="Q90">
        <v>35492.722222222234</v>
      </c>
    </row>
    <row r="91" spans="1:17" x14ac:dyDescent="0.35">
      <c r="A91" t="s">
        <v>1026</v>
      </c>
      <c r="B91" t="str">
        <f t="shared" si="4"/>
        <v>Cable duct</v>
      </c>
      <c r="C91" t="str">
        <f t="shared" si="5"/>
        <v xml:space="preserve"> 3240190</v>
      </c>
      <c r="D91" t="str">
        <f t="shared" si="6"/>
        <v>20</v>
      </c>
      <c r="E91" t="s">
        <v>1698</v>
      </c>
      <c r="F91" t="s">
        <v>2077</v>
      </c>
      <c r="G91" t="s">
        <v>2078</v>
      </c>
      <c r="H91" t="str">
        <f t="shared" si="7"/>
        <v>3240190</v>
      </c>
      <c r="M91" t="s">
        <v>1027</v>
      </c>
      <c r="N91">
        <v>20</v>
      </c>
      <c r="O91" t="s">
        <v>2</v>
      </c>
      <c r="P91">
        <v>1715.478260869565</v>
      </c>
      <c r="Q91">
        <v>34309.565217391297</v>
      </c>
    </row>
    <row r="92" spans="1:17" x14ac:dyDescent="0.35">
      <c r="A92" t="s">
        <v>1028</v>
      </c>
      <c r="B92" t="str">
        <f t="shared" si="4"/>
        <v>303S-YEL/WHT,200PR REFILL</v>
      </c>
      <c r="C92" t="str">
        <f t="shared" si="5"/>
        <v xml:space="preserve"> 1006187</v>
      </c>
      <c r="D92" t="str">
        <f t="shared" si="6"/>
        <v>16</v>
      </c>
      <c r="E92" t="s">
        <v>2079</v>
      </c>
      <c r="F92" t="s">
        <v>2080</v>
      </c>
      <c r="G92" t="s">
        <v>1992</v>
      </c>
      <c r="H92" t="str">
        <f t="shared" si="7"/>
        <v>1006187</v>
      </c>
      <c r="M92" t="s">
        <v>1029</v>
      </c>
      <c r="N92">
        <v>16</v>
      </c>
      <c r="O92" t="s">
        <v>2</v>
      </c>
      <c r="P92">
        <v>2095.166666666667</v>
      </c>
      <c r="Q92">
        <v>33522.666666666657</v>
      </c>
    </row>
    <row r="93" spans="1:17" x14ac:dyDescent="0.35">
      <c r="A93" t="s">
        <v>1030</v>
      </c>
      <c r="B93" t="str">
        <f t="shared" si="4"/>
        <v>Cable duct</v>
      </c>
      <c r="C93" t="str">
        <f t="shared" si="5"/>
        <v xml:space="preserve"> 3240199</v>
      </c>
      <c r="D93" t="str">
        <f t="shared" si="6"/>
        <v>10</v>
      </c>
      <c r="E93" t="s">
        <v>1698</v>
      </c>
      <c r="F93" t="s">
        <v>2081</v>
      </c>
      <c r="G93" t="s">
        <v>2050</v>
      </c>
      <c r="H93" t="str">
        <f t="shared" si="7"/>
        <v>3240199</v>
      </c>
      <c r="M93" t="s">
        <v>1031</v>
      </c>
      <c r="N93">
        <v>10</v>
      </c>
      <c r="O93" t="s">
        <v>2</v>
      </c>
      <c r="P93">
        <v>3159.7222222222222</v>
      </c>
      <c r="Q93">
        <v>31597.222222222219</v>
      </c>
    </row>
    <row r="94" spans="1:17" x14ac:dyDescent="0.35">
      <c r="A94" t="s">
        <v>1032</v>
      </c>
      <c r="B94" t="str">
        <f t="shared" si="4"/>
        <v>Принтер</v>
      </c>
      <c r="C94" t="str">
        <f t="shared" si="5"/>
        <v xml:space="preserve"> cb015a</v>
      </c>
      <c r="D94" t="str">
        <f t="shared" si="6"/>
        <v>1</v>
      </c>
      <c r="E94" t="s">
        <v>1704</v>
      </c>
      <c r="F94" t="s">
        <v>2082</v>
      </c>
      <c r="G94" t="s">
        <v>1996</v>
      </c>
      <c r="H94" t="str">
        <f t="shared" si="7"/>
        <v>cb015a</v>
      </c>
      <c r="M94" t="s">
        <v>1033</v>
      </c>
      <c r="N94">
        <v>1</v>
      </c>
      <c r="O94" t="s">
        <v>871</v>
      </c>
      <c r="P94">
        <v>25560</v>
      </c>
      <c r="Q94">
        <v>25560</v>
      </c>
    </row>
    <row r="95" spans="1:17" x14ac:dyDescent="0.35">
      <c r="A95" t="s">
        <v>1034</v>
      </c>
      <c r="B95" t="str">
        <f t="shared" si="4"/>
        <v>Cable duct</v>
      </c>
      <c r="C95" t="str">
        <f t="shared" si="5"/>
        <v xml:space="preserve"> 3240248</v>
      </c>
      <c r="D95" t="str">
        <f t="shared" si="6"/>
        <v>25</v>
      </c>
      <c r="E95" t="s">
        <v>1698</v>
      </c>
      <c r="F95" t="s">
        <v>2083</v>
      </c>
      <c r="G95" t="s">
        <v>2030</v>
      </c>
      <c r="H95" t="str">
        <f t="shared" si="7"/>
        <v>3240248</v>
      </c>
      <c r="M95" t="s">
        <v>1035</v>
      </c>
      <c r="N95">
        <v>25</v>
      </c>
      <c r="O95" t="s">
        <v>2</v>
      </c>
      <c r="P95">
        <v>1017.92</v>
      </c>
      <c r="Q95">
        <v>25448</v>
      </c>
    </row>
    <row r="96" spans="1:17" x14ac:dyDescent="0.35">
      <c r="A96" t="s">
        <v>1036</v>
      </c>
      <c r="B96" t="str">
        <f t="shared" si="4"/>
        <v>Cable duct</v>
      </c>
      <c r="C96" t="str">
        <f t="shared" si="5"/>
        <v xml:space="preserve"> 3240199</v>
      </c>
      <c r="D96" t="str">
        <f t="shared" si="6"/>
        <v>8</v>
      </c>
      <c r="E96" t="s">
        <v>1698</v>
      </c>
      <c r="F96" t="s">
        <v>2081</v>
      </c>
      <c r="G96" t="s">
        <v>2084</v>
      </c>
      <c r="H96" t="str">
        <f t="shared" si="7"/>
        <v>3240199</v>
      </c>
      <c r="M96" t="s">
        <v>1031</v>
      </c>
      <c r="N96">
        <v>8</v>
      </c>
      <c r="O96" t="s">
        <v>2</v>
      </c>
      <c r="P96">
        <v>3159.7222222222222</v>
      </c>
      <c r="Q96">
        <v>25277.777777777781</v>
      </c>
    </row>
    <row r="97" spans="1:17" x14ac:dyDescent="0.35">
      <c r="A97" t="s">
        <v>1037</v>
      </c>
      <c r="B97" t="str">
        <f t="shared" si="4"/>
        <v>FlexES additional housing</v>
      </c>
      <c r="C97" t="str">
        <f t="shared" si="5"/>
        <v xml:space="preserve"> FX808338</v>
      </c>
      <c r="D97" t="str">
        <f t="shared" si="6"/>
        <v>2</v>
      </c>
      <c r="E97" t="s">
        <v>1695</v>
      </c>
      <c r="F97" t="s">
        <v>2049</v>
      </c>
      <c r="G97" t="s">
        <v>1990</v>
      </c>
      <c r="H97" t="str">
        <f t="shared" si="7"/>
        <v>FX808338</v>
      </c>
      <c r="M97" t="s">
        <v>999</v>
      </c>
      <c r="N97">
        <v>2</v>
      </c>
      <c r="O97" t="s">
        <v>2</v>
      </c>
      <c r="P97">
        <v>11552.384615384621</v>
      </c>
      <c r="Q97">
        <v>23104.76923076923</v>
      </c>
    </row>
    <row r="98" spans="1:17" x14ac:dyDescent="0.35">
      <c r="A98" t="s">
        <v>1038</v>
      </c>
      <c r="B98" t="str">
        <f t="shared" si="4"/>
        <v>Cable</v>
      </c>
      <c r="C98" t="str">
        <f t="shared" si="5"/>
        <v xml:space="preserve"> SCDUPLEX9/125-15</v>
      </c>
      <c r="D98" t="str">
        <f t="shared" si="6"/>
        <v>32</v>
      </c>
      <c r="E98" t="s">
        <v>1705</v>
      </c>
      <c r="F98" t="s">
        <v>2085</v>
      </c>
      <c r="G98" t="s">
        <v>2086</v>
      </c>
      <c r="H98" t="str">
        <f t="shared" si="7"/>
        <v>SCDUPLEX9/125-15</v>
      </c>
      <c r="M98" t="s">
        <v>1039</v>
      </c>
      <c r="N98">
        <v>32</v>
      </c>
      <c r="O98" t="s">
        <v>2</v>
      </c>
      <c r="P98">
        <v>715.4375</v>
      </c>
      <c r="Q98">
        <v>22894</v>
      </c>
    </row>
    <row r="99" spans="1:17" x14ac:dyDescent="0.35">
      <c r="A99" t="s">
        <v>1040</v>
      </c>
      <c r="B99" t="str">
        <f t="shared" si="4"/>
        <v>303L FOAMPLUG - 2000 PR/CS</v>
      </c>
      <c r="C99" t="str">
        <f t="shared" si="5"/>
        <v xml:space="preserve"> 1006186</v>
      </c>
      <c r="D99" t="str">
        <f t="shared" si="6"/>
        <v>10</v>
      </c>
      <c r="E99" t="s">
        <v>1706</v>
      </c>
      <c r="F99" t="s">
        <v>2087</v>
      </c>
      <c r="G99" t="s">
        <v>2050</v>
      </c>
      <c r="H99" t="str">
        <f t="shared" si="7"/>
        <v>1006186</v>
      </c>
      <c r="M99" t="s">
        <v>1041</v>
      </c>
      <c r="N99">
        <v>10</v>
      </c>
      <c r="O99" t="s">
        <v>2</v>
      </c>
      <c r="P99">
        <v>1920.6112469437651</v>
      </c>
      <c r="Q99">
        <v>19206.112469437649</v>
      </c>
    </row>
    <row r="100" spans="1:17" x14ac:dyDescent="0.35">
      <c r="A100" t="s">
        <v>1042</v>
      </c>
      <c r="B100" t="str">
        <f t="shared" si="4"/>
        <v>Cable channel</v>
      </c>
      <c r="C100" t="str">
        <f t="shared" si="5"/>
        <v xml:space="preserve"> 3240357</v>
      </c>
      <c r="D100" t="str">
        <f t="shared" si="6"/>
        <v>4</v>
      </c>
      <c r="E100" t="s">
        <v>1707</v>
      </c>
      <c r="F100" t="s">
        <v>2059</v>
      </c>
      <c r="G100" t="s">
        <v>2040</v>
      </c>
      <c r="H100" t="str">
        <f t="shared" si="7"/>
        <v>3240357</v>
      </c>
      <c r="M100" t="s">
        <v>1009</v>
      </c>
      <c r="N100">
        <v>4</v>
      </c>
      <c r="O100" t="s">
        <v>2</v>
      </c>
      <c r="P100">
        <v>4618.2105263157891</v>
      </c>
      <c r="Q100">
        <v>18472.84210526316</v>
      </c>
    </row>
    <row r="101" spans="1:17" x14ac:dyDescent="0.35">
      <c r="A101" t="s">
        <v>1043</v>
      </c>
      <c r="B101" t="str">
        <f t="shared" si="4"/>
        <v>Cable duct</v>
      </c>
      <c r="C101" t="str">
        <f t="shared" si="5"/>
        <v xml:space="preserve"> 3240197</v>
      </c>
      <c r="D101" t="str">
        <f t="shared" si="6"/>
        <v>10</v>
      </c>
      <c r="E101" t="s">
        <v>1698</v>
      </c>
      <c r="F101" t="s">
        <v>2088</v>
      </c>
      <c r="G101" t="s">
        <v>2050</v>
      </c>
      <c r="H101" t="str">
        <f t="shared" si="7"/>
        <v>3240197</v>
      </c>
      <c r="M101" t="s">
        <v>1044</v>
      </c>
      <c r="N101">
        <v>10</v>
      </c>
      <c r="O101" t="s">
        <v>2</v>
      </c>
      <c r="P101">
        <v>1808.9</v>
      </c>
      <c r="Q101">
        <v>18089</v>
      </c>
    </row>
    <row r="102" spans="1:17" x14ac:dyDescent="0.35">
      <c r="A102" t="s">
        <v>1045</v>
      </c>
      <c r="B102" t="str">
        <f t="shared" si="4"/>
        <v>5 x SHALLOW BASE - RED</v>
      </c>
      <c r="C102" t="str">
        <f t="shared" si="5"/>
        <v xml:space="preserve"> CSR</v>
      </c>
      <c r="D102" t="str">
        <f t="shared" si="6"/>
        <v>13</v>
      </c>
      <c r="E102" t="s">
        <v>1708</v>
      </c>
      <c r="F102" t="s">
        <v>2089</v>
      </c>
      <c r="G102" t="s">
        <v>1950</v>
      </c>
      <c r="H102" t="str">
        <f t="shared" si="7"/>
        <v>CSR</v>
      </c>
      <c r="M102" t="s">
        <v>1046</v>
      </c>
      <c r="N102">
        <v>13</v>
      </c>
      <c r="O102" t="s">
        <v>2</v>
      </c>
      <c r="P102">
        <v>1353.153846153846</v>
      </c>
      <c r="Q102">
        <v>17591</v>
      </c>
    </row>
    <row r="103" spans="1:17" x14ac:dyDescent="0.35">
      <c r="A103" t="s">
        <v>1047</v>
      </c>
      <c r="B103" t="str">
        <f t="shared" si="4"/>
        <v>Cable channel</v>
      </c>
      <c r="C103" t="str">
        <f t="shared" si="5"/>
        <v xml:space="preserve"> 3240197-RU</v>
      </c>
      <c r="D103" t="str">
        <f t="shared" si="6"/>
        <v>9</v>
      </c>
      <c r="E103" t="s">
        <v>1707</v>
      </c>
      <c r="F103" t="s">
        <v>2090</v>
      </c>
      <c r="G103" t="s">
        <v>1984</v>
      </c>
      <c r="H103" t="str">
        <f t="shared" si="7"/>
        <v>3240197-RU</v>
      </c>
      <c r="M103" t="s">
        <v>1048</v>
      </c>
      <c r="N103">
        <v>9</v>
      </c>
      <c r="O103" t="s">
        <v>2</v>
      </c>
      <c r="P103">
        <v>1808.8888888888889</v>
      </c>
      <c r="Q103">
        <v>16280</v>
      </c>
    </row>
    <row r="104" spans="1:17" x14ac:dyDescent="0.35">
      <c r="A104" t="s">
        <v>1049</v>
      </c>
      <c r="B104" t="str">
        <f t="shared" si="4"/>
        <v>Монитор</v>
      </c>
      <c r="C104" t="str">
        <f t="shared" si="5"/>
        <v xml:space="preserve"> p2210f</v>
      </c>
      <c r="D104" t="str">
        <f t="shared" si="6"/>
        <v>1</v>
      </c>
      <c r="E104" t="s">
        <v>1701</v>
      </c>
      <c r="F104" t="s">
        <v>2091</v>
      </c>
      <c r="G104" t="s">
        <v>1996</v>
      </c>
      <c r="H104" t="str">
        <f t="shared" si="7"/>
        <v>p2210f</v>
      </c>
      <c r="M104" t="s">
        <v>1050</v>
      </c>
      <c r="N104">
        <v>1</v>
      </c>
      <c r="O104" t="s">
        <v>864</v>
      </c>
      <c r="P104">
        <v>15917</v>
      </c>
      <c r="Q104">
        <v>15917</v>
      </c>
    </row>
    <row r="105" spans="1:17" x14ac:dyDescent="0.35">
      <c r="A105" t="s">
        <v>1051</v>
      </c>
      <c r="B105" t="str">
        <f t="shared" si="4"/>
        <v>Battery extension housing for</v>
      </c>
      <c r="C105" t="str">
        <f t="shared" si="5"/>
        <v xml:space="preserve"> FX808313</v>
      </c>
      <c r="D105" t="str">
        <f t="shared" si="6"/>
        <v>1</v>
      </c>
      <c r="E105" t="s">
        <v>1709</v>
      </c>
      <c r="F105" t="s">
        <v>2092</v>
      </c>
      <c r="G105" t="s">
        <v>1996</v>
      </c>
      <c r="H105" t="str">
        <f t="shared" si="7"/>
        <v>FX808313</v>
      </c>
      <c r="M105" t="s">
        <v>1052</v>
      </c>
      <c r="N105">
        <v>1</v>
      </c>
      <c r="O105" t="s">
        <v>2</v>
      </c>
      <c r="P105">
        <v>14741.8</v>
      </c>
      <c r="Q105">
        <v>14741.8</v>
      </c>
    </row>
    <row r="106" spans="1:17" x14ac:dyDescent="0.35">
      <c r="A106" t="s">
        <v>1053</v>
      </c>
      <c r="B106" t="str">
        <f t="shared" si="4"/>
        <v>Монитор</v>
      </c>
      <c r="C106" t="str">
        <f t="shared" si="5"/>
        <v xml:space="preserve"> u2421m</v>
      </c>
      <c r="D106" t="str">
        <f t="shared" si="6"/>
        <v>2</v>
      </c>
      <c r="E106" t="s">
        <v>1701</v>
      </c>
      <c r="F106" t="s">
        <v>2093</v>
      </c>
      <c r="G106" t="s">
        <v>1990</v>
      </c>
      <c r="H106" t="str">
        <f t="shared" si="7"/>
        <v>u2421m</v>
      </c>
      <c r="M106" t="s">
        <v>1054</v>
      </c>
      <c r="N106">
        <v>2</v>
      </c>
      <c r="O106" t="s">
        <v>871</v>
      </c>
      <c r="P106">
        <v>6692.333333333333</v>
      </c>
      <c r="Q106">
        <v>13384.66666666667</v>
      </c>
    </row>
    <row r="107" spans="1:17" x14ac:dyDescent="0.35">
      <c r="A107" t="s">
        <v>1055</v>
      </c>
      <c r="B107" t="str">
        <f t="shared" si="4"/>
        <v>Монитор</v>
      </c>
      <c r="C107" t="str">
        <f t="shared" si="5"/>
        <v xml:space="preserve"> p2213t</v>
      </c>
      <c r="D107" t="str">
        <f t="shared" si="6"/>
        <v>2</v>
      </c>
      <c r="E107" t="s">
        <v>1701</v>
      </c>
      <c r="F107" t="s">
        <v>2064</v>
      </c>
      <c r="G107" t="s">
        <v>1990</v>
      </c>
      <c r="H107" t="str">
        <f t="shared" si="7"/>
        <v>p2213t</v>
      </c>
      <c r="M107" t="s">
        <v>863</v>
      </c>
      <c r="N107">
        <v>2</v>
      </c>
      <c r="O107" t="s">
        <v>864</v>
      </c>
      <c r="P107">
        <v>6683.6184210526317</v>
      </c>
      <c r="Q107">
        <v>13367.23684210526</v>
      </c>
    </row>
    <row r="108" spans="1:17" x14ac:dyDescent="0.35">
      <c r="A108" t="s">
        <v>1056</v>
      </c>
      <c r="B108" t="str">
        <f t="shared" si="4"/>
        <v>Системный блок Компьютер</v>
      </c>
      <c r="C108" t="str">
        <f t="shared" si="5"/>
        <v xml:space="preserve"> p2217h</v>
      </c>
      <c r="D108" t="str">
        <f t="shared" si="6"/>
        <v>1</v>
      </c>
      <c r="E108" t="s">
        <v>1710</v>
      </c>
      <c r="F108" t="s">
        <v>2094</v>
      </c>
      <c r="G108" t="s">
        <v>1996</v>
      </c>
      <c r="H108" t="str">
        <f t="shared" si="7"/>
        <v>p2217h</v>
      </c>
      <c r="M108" t="s">
        <v>1057</v>
      </c>
      <c r="N108">
        <v>1</v>
      </c>
      <c r="O108" t="s">
        <v>2</v>
      </c>
      <c r="P108">
        <v>13186.8</v>
      </c>
      <c r="Q108">
        <v>13186.8</v>
      </c>
    </row>
    <row r="109" spans="1:17" x14ac:dyDescent="0.35">
      <c r="A109" t="s">
        <v>1058</v>
      </c>
      <c r="B109" t="str">
        <f t="shared" si="4"/>
        <v>Ноутбук</v>
      </c>
      <c r="C109" t="str">
        <f t="shared" si="5"/>
        <v xml:space="preserve"> pp11l</v>
      </c>
      <c r="D109" t="str">
        <f t="shared" si="6"/>
        <v>1</v>
      </c>
      <c r="E109" t="s">
        <v>1711</v>
      </c>
      <c r="F109" t="s">
        <v>2095</v>
      </c>
      <c r="G109" t="s">
        <v>1996</v>
      </c>
      <c r="H109" t="str">
        <f t="shared" si="7"/>
        <v>pp11l</v>
      </c>
      <c r="M109" t="s">
        <v>1059</v>
      </c>
      <c r="N109">
        <v>1</v>
      </c>
      <c r="O109" t="s">
        <v>871</v>
      </c>
      <c r="P109">
        <v>11816</v>
      </c>
      <c r="Q109">
        <v>11816</v>
      </c>
    </row>
    <row r="110" spans="1:17" x14ac:dyDescent="0.35">
      <c r="A110" t="s">
        <v>1060</v>
      </c>
      <c r="B110" t="str">
        <f t="shared" si="4"/>
        <v>WEID 1631930000 SCHT 5S PA66 BG</v>
      </c>
      <c r="C110" t="str">
        <f t="shared" si="5"/>
        <v xml:space="preserve"> 1631930000</v>
      </c>
      <c r="D110" t="str">
        <f t="shared" si="6"/>
        <v>20</v>
      </c>
      <c r="E110" t="s">
        <v>1712</v>
      </c>
      <c r="F110" t="s">
        <v>2096</v>
      </c>
      <c r="G110" t="s">
        <v>2078</v>
      </c>
      <c r="H110" t="str">
        <f t="shared" si="7"/>
        <v>1631930000</v>
      </c>
      <c r="M110" t="s">
        <v>1061</v>
      </c>
      <c r="N110">
        <v>20</v>
      </c>
      <c r="O110" t="s">
        <v>2</v>
      </c>
      <c r="P110">
        <v>520.29999999999995</v>
      </c>
      <c r="Q110">
        <v>10406</v>
      </c>
    </row>
    <row r="111" spans="1:17" x14ac:dyDescent="0.35">
      <c r="A111" t="s">
        <v>1062</v>
      </c>
      <c r="B111" t="str">
        <f t="shared" si="4"/>
        <v>Монитор</v>
      </c>
      <c r="C111" t="str">
        <f t="shared" si="5"/>
        <v xml:space="preserve"> p2421d</v>
      </c>
      <c r="D111" t="str">
        <f t="shared" si="6"/>
        <v>1</v>
      </c>
      <c r="E111" t="s">
        <v>1701</v>
      </c>
      <c r="F111" t="s">
        <v>2097</v>
      </c>
      <c r="G111" t="s">
        <v>1996</v>
      </c>
      <c r="H111" t="str">
        <f t="shared" si="7"/>
        <v>p2421d</v>
      </c>
      <c r="M111" t="s">
        <v>1063</v>
      </c>
      <c r="N111">
        <v>1</v>
      </c>
      <c r="O111" t="s">
        <v>871</v>
      </c>
      <c r="P111">
        <v>10393</v>
      </c>
      <c r="Q111">
        <v>10393</v>
      </c>
    </row>
    <row r="112" spans="1:17" x14ac:dyDescent="0.35">
      <c r="A112" t="s">
        <v>878</v>
      </c>
      <c r="B112" t="str">
        <f t="shared" si="4"/>
        <v>Монитор</v>
      </c>
      <c r="C112" t="str">
        <f t="shared" si="5"/>
        <v xml:space="preserve"> u2412m</v>
      </c>
      <c r="D112" t="str">
        <f t="shared" si="6"/>
        <v>1</v>
      </c>
      <c r="E112" t="s">
        <v>1701</v>
      </c>
      <c r="F112" t="s">
        <v>2098</v>
      </c>
      <c r="G112" t="s">
        <v>1996</v>
      </c>
      <c r="H112" t="str">
        <f t="shared" si="7"/>
        <v>u2412m</v>
      </c>
      <c r="M112" t="s">
        <v>879</v>
      </c>
      <c r="N112">
        <v>1</v>
      </c>
      <c r="O112" t="s">
        <v>871</v>
      </c>
      <c r="P112">
        <v>9913.6875</v>
      </c>
      <c r="Q112">
        <v>9913.6875</v>
      </c>
    </row>
    <row r="113" spans="1:17" x14ac:dyDescent="0.35">
      <c r="A113" t="s">
        <v>1064</v>
      </c>
      <c r="B113" t="str">
        <f t="shared" si="4"/>
        <v>Док-станция</v>
      </c>
      <c r="C113" t="str">
        <f t="shared" si="5"/>
        <v xml:space="preserve"> wd19dcs</v>
      </c>
      <c r="D113" t="str">
        <f t="shared" si="6"/>
        <v>1</v>
      </c>
      <c r="E113" t="s">
        <v>1713</v>
      </c>
      <c r="F113" t="s">
        <v>2099</v>
      </c>
      <c r="G113" t="s">
        <v>1996</v>
      </c>
      <c r="H113" t="str">
        <f t="shared" si="7"/>
        <v>wd19dcs</v>
      </c>
      <c r="M113" t="s">
        <v>1065</v>
      </c>
      <c r="N113">
        <v>1</v>
      </c>
      <c r="O113" t="s">
        <v>871</v>
      </c>
      <c r="P113">
        <v>9240</v>
      </c>
      <c r="Q113">
        <v>9240</v>
      </c>
    </row>
    <row r="114" spans="1:17" x14ac:dyDescent="0.35">
      <c r="A114" t="s">
        <v>1066</v>
      </c>
      <c r="B114" t="str">
        <f t="shared" si="4"/>
        <v>Cable duct</v>
      </c>
      <c r="C114" t="str">
        <f t="shared" si="5"/>
        <v xml:space="preserve"> 3240605</v>
      </c>
      <c r="D114" t="str">
        <f t="shared" si="6"/>
        <v>6</v>
      </c>
      <c r="E114" t="s">
        <v>1698</v>
      </c>
      <c r="F114" t="s">
        <v>2100</v>
      </c>
      <c r="G114" t="s">
        <v>1955</v>
      </c>
      <c r="H114" t="str">
        <f t="shared" si="7"/>
        <v>3240605</v>
      </c>
      <c r="M114" t="s">
        <v>1067</v>
      </c>
      <c r="N114">
        <v>6</v>
      </c>
      <c r="O114" t="s">
        <v>2</v>
      </c>
      <c r="P114">
        <v>1491.1</v>
      </c>
      <c r="Q114">
        <v>8946.5999999999985</v>
      </c>
    </row>
    <row r="115" spans="1:17" x14ac:dyDescent="0.35">
      <c r="A115" t="s">
        <v>1068</v>
      </c>
      <c r="B115" t="str">
        <f t="shared" si="4"/>
        <v>Монитор</v>
      </c>
      <c r="C115" t="str">
        <f t="shared" si="5"/>
        <v xml:space="preserve"> p2422h</v>
      </c>
      <c r="D115" t="str">
        <f t="shared" si="6"/>
        <v>1</v>
      </c>
      <c r="E115" t="s">
        <v>1701</v>
      </c>
      <c r="F115" t="s">
        <v>2101</v>
      </c>
      <c r="G115" t="s">
        <v>1996</v>
      </c>
      <c r="H115" t="str">
        <f t="shared" si="7"/>
        <v>p2422h</v>
      </c>
      <c r="M115" t="s">
        <v>1069</v>
      </c>
      <c r="N115">
        <v>1</v>
      </c>
      <c r="O115" t="s">
        <v>871</v>
      </c>
      <c r="P115">
        <v>8928</v>
      </c>
      <c r="Q115">
        <v>8928</v>
      </c>
    </row>
    <row r="116" spans="1:17" x14ac:dyDescent="0.35">
      <c r="A116" t="s">
        <v>1070</v>
      </c>
      <c r="B116" t="str">
        <f t="shared" si="4"/>
        <v>Input cable DOM-amp. 0,5m green</v>
      </c>
      <c r="C116" t="str">
        <f t="shared" si="5"/>
        <v xml:space="preserve"> 583491A</v>
      </c>
      <c r="D116" t="str">
        <f t="shared" si="6"/>
        <v>8</v>
      </c>
      <c r="E116" t="s">
        <v>2102</v>
      </c>
      <c r="F116" t="s">
        <v>2103</v>
      </c>
      <c r="G116" t="s">
        <v>2084</v>
      </c>
      <c r="H116" t="str">
        <f t="shared" si="7"/>
        <v>583491A</v>
      </c>
      <c r="M116" t="s">
        <v>364</v>
      </c>
      <c r="N116">
        <v>8</v>
      </c>
      <c r="O116" t="s">
        <v>2</v>
      </c>
      <c r="P116">
        <v>1041.205882352941</v>
      </c>
      <c r="Q116">
        <v>8329.6470588235297</v>
      </c>
    </row>
    <row r="117" spans="1:17" x14ac:dyDescent="0.35">
      <c r="A117" t="s">
        <v>1071</v>
      </c>
      <c r="B117" t="str">
        <f t="shared" si="4"/>
        <v>WTR4 DISCONNECT TERMINAL NO STB</v>
      </c>
      <c r="C117" t="str">
        <f t="shared" si="5"/>
        <v xml:space="preserve"> 7910180000</v>
      </c>
      <c r="D117" t="str">
        <f t="shared" si="6"/>
        <v>50</v>
      </c>
      <c r="E117" t="s">
        <v>1714</v>
      </c>
      <c r="F117" t="s">
        <v>2104</v>
      </c>
      <c r="G117" t="s">
        <v>2060</v>
      </c>
      <c r="H117" t="str">
        <f t="shared" si="7"/>
        <v>7910180000</v>
      </c>
      <c r="M117" t="s">
        <v>1072</v>
      </c>
      <c r="N117">
        <v>50</v>
      </c>
      <c r="O117" t="s">
        <v>2</v>
      </c>
      <c r="P117">
        <v>165.06</v>
      </c>
      <c r="Q117">
        <v>8253</v>
      </c>
    </row>
    <row r="118" spans="1:17" x14ac:dyDescent="0.35">
      <c r="A118" t="s">
        <v>1073</v>
      </c>
      <c r="B118" t="str">
        <f t="shared" si="4"/>
        <v>Optical wire SC-SCDuplex9/125 5m</v>
      </c>
      <c r="C118" t="str">
        <f t="shared" si="5"/>
        <v xml:space="preserve"> SC-SCDUPLEX9/125-5</v>
      </c>
      <c r="D118" t="str">
        <f t="shared" si="6"/>
        <v>15</v>
      </c>
      <c r="E118" t="s">
        <v>1715</v>
      </c>
      <c r="F118" t="s">
        <v>2105</v>
      </c>
      <c r="G118" t="s">
        <v>1975</v>
      </c>
      <c r="H118" t="str">
        <f t="shared" si="7"/>
        <v>SC-SCDUPLEX9/125-5</v>
      </c>
      <c r="M118" t="s">
        <v>1074</v>
      </c>
      <c r="N118">
        <v>15</v>
      </c>
      <c r="O118" t="s">
        <v>2</v>
      </c>
      <c r="P118">
        <v>518.5333333333333</v>
      </c>
      <c r="Q118">
        <v>7778</v>
      </c>
    </row>
    <row r="119" spans="1:17" x14ac:dyDescent="0.35">
      <c r="A119" t="s">
        <v>1075</v>
      </c>
      <c r="B119" t="str">
        <f t="shared" si="4"/>
        <v>Монитор</v>
      </c>
      <c r="C119" t="str">
        <f t="shared" si="5"/>
        <v xml:space="preserve"> u2421m</v>
      </c>
      <c r="D119" t="str">
        <f t="shared" si="6"/>
        <v>1</v>
      </c>
      <c r="E119" t="s">
        <v>1701</v>
      </c>
      <c r="F119" t="s">
        <v>2093</v>
      </c>
      <c r="G119" t="s">
        <v>1996</v>
      </c>
      <c r="H119" t="str">
        <f t="shared" si="7"/>
        <v>u2421m</v>
      </c>
      <c r="M119" t="s">
        <v>1054</v>
      </c>
      <c r="N119">
        <v>1</v>
      </c>
      <c r="O119" t="s">
        <v>871</v>
      </c>
      <c r="P119">
        <v>6692.333333333333</v>
      </c>
      <c r="Q119">
        <v>6692.333333333333</v>
      </c>
    </row>
    <row r="120" spans="1:17" x14ac:dyDescent="0.35">
      <c r="A120" t="s">
        <v>1076</v>
      </c>
      <c r="B120" t="str">
        <f t="shared" si="4"/>
        <v>Монитор</v>
      </c>
      <c r="C120" t="str">
        <f t="shared" si="5"/>
        <v xml:space="preserve"> p2213t</v>
      </c>
      <c r="D120" t="str">
        <f t="shared" si="6"/>
        <v>1</v>
      </c>
      <c r="E120" t="s">
        <v>1701</v>
      </c>
      <c r="F120" t="s">
        <v>2064</v>
      </c>
      <c r="G120" t="s">
        <v>1996</v>
      </c>
      <c r="H120" t="str">
        <f t="shared" si="7"/>
        <v>p2213t</v>
      </c>
      <c r="M120" t="s">
        <v>863</v>
      </c>
      <c r="N120">
        <v>1</v>
      </c>
      <c r="O120" t="s">
        <v>864</v>
      </c>
      <c r="P120">
        <v>6683.6184210526317</v>
      </c>
      <c r="Q120">
        <v>6683.6184210526317</v>
      </c>
    </row>
    <row r="121" spans="1:17" x14ac:dyDescent="0.35">
      <c r="A121" t="s">
        <v>1077</v>
      </c>
      <c r="B121" t="str">
        <f t="shared" si="4"/>
        <v>Weidmuller WEW 35/2, End Bracket, beige</v>
      </c>
      <c r="C121" t="str">
        <f t="shared" si="5"/>
        <v xml:space="preserve"> 1061200000</v>
      </c>
      <c r="D121" t="str">
        <f t="shared" si="6"/>
        <v>50</v>
      </c>
      <c r="E121" t="s">
        <v>2106</v>
      </c>
      <c r="F121" t="s">
        <v>2107</v>
      </c>
      <c r="G121" t="s">
        <v>2060</v>
      </c>
      <c r="H121" t="str">
        <f t="shared" si="7"/>
        <v>1061200000</v>
      </c>
      <c r="M121" t="s">
        <v>1078</v>
      </c>
      <c r="N121">
        <v>50</v>
      </c>
      <c r="O121" t="s">
        <v>2</v>
      </c>
      <c r="P121">
        <v>131.08000000000001</v>
      </c>
      <c r="Q121">
        <v>6554.0000000000009</v>
      </c>
    </row>
    <row r="122" spans="1:17" x14ac:dyDescent="0.35">
      <c r="A122" t="s">
        <v>1079</v>
      </c>
      <c r="B122" t="str">
        <f t="shared" si="4"/>
        <v>Принтер</v>
      </c>
      <c r="C122" t="str">
        <f t="shared" si="5"/>
        <v xml:space="preserve"> cf274a</v>
      </c>
      <c r="D122" t="str">
        <f t="shared" si="6"/>
        <v>1</v>
      </c>
      <c r="E122" t="s">
        <v>1704</v>
      </c>
      <c r="F122" t="s">
        <v>2108</v>
      </c>
      <c r="G122" t="s">
        <v>1996</v>
      </c>
      <c r="H122" t="str">
        <f t="shared" si="7"/>
        <v>cf274a</v>
      </c>
      <c r="M122" t="s">
        <v>1080</v>
      </c>
      <c r="N122">
        <v>1</v>
      </c>
      <c r="O122" t="s">
        <v>871</v>
      </c>
      <c r="P122">
        <v>6164</v>
      </c>
      <c r="Q122">
        <v>6164</v>
      </c>
    </row>
    <row r="123" spans="1:17" x14ac:dyDescent="0.35">
      <c r="A123" t="s">
        <v>1081</v>
      </c>
      <c r="B123" t="str">
        <f t="shared" si="4"/>
        <v>Cable channel</v>
      </c>
      <c r="C123" t="str">
        <f t="shared" si="5"/>
        <v xml:space="preserve"> 3240605</v>
      </c>
      <c r="D123" t="str">
        <f t="shared" si="6"/>
        <v>4</v>
      </c>
      <c r="E123" t="s">
        <v>1707</v>
      </c>
      <c r="F123" t="s">
        <v>2100</v>
      </c>
      <c r="G123" t="s">
        <v>2040</v>
      </c>
      <c r="H123" t="str">
        <f t="shared" si="7"/>
        <v>3240605</v>
      </c>
      <c r="M123" t="s">
        <v>1067</v>
      </c>
      <c r="N123">
        <v>4</v>
      </c>
      <c r="O123" t="s">
        <v>2</v>
      </c>
      <c r="P123">
        <v>1491.1</v>
      </c>
      <c r="Q123">
        <v>5964.4</v>
      </c>
    </row>
    <row r="124" spans="1:17" x14ac:dyDescent="0.35">
      <c r="A124" t="s">
        <v>1082</v>
      </c>
      <c r="B124" t="str">
        <f t="shared" si="4"/>
        <v>Housing surface-mount, gray</v>
      </c>
      <c r="C124" t="str">
        <f t="shared" si="5"/>
        <v xml:space="preserve"> 788600</v>
      </c>
      <c r="D124" t="str">
        <f t="shared" si="6"/>
        <v>7</v>
      </c>
      <c r="E124" t="s">
        <v>2074</v>
      </c>
      <c r="F124" t="s">
        <v>2075</v>
      </c>
      <c r="G124" t="s">
        <v>2065</v>
      </c>
      <c r="H124" t="str">
        <f t="shared" si="7"/>
        <v>788600</v>
      </c>
      <c r="M124" t="s">
        <v>707</v>
      </c>
      <c r="N124">
        <v>7</v>
      </c>
      <c r="O124" t="s">
        <v>2</v>
      </c>
      <c r="P124">
        <v>806.65277777777783</v>
      </c>
      <c r="Q124">
        <v>5646.5694444444453</v>
      </c>
    </row>
    <row r="125" spans="1:17" x14ac:dyDescent="0.35">
      <c r="A125" t="s">
        <v>1083</v>
      </c>
      <c r="B125" t="str">
        <f t="shared" si="4"/>
        <v>Perforated DIN rail</v>
      </c>
      <c r="C125" t="str">
        <f t="shared" si="5"/>
        <v xml:space="preserve"> 3240190</v>
      </c>
      <c r="D125" t="str">
        <f t="shared" si="6"/>
        <v>3</v>
      </c>
      <c r="E125" t="s">
        <v>1716</v>
      </c>
      <c r="F125" t="s">
        <v>2077</v>
      </c>
      <c r="G125" t="s">
        <v>2026</v>
      </c>
      <c r="H125" t="str">
        <f t="shared" si="7"/>
        <v>3240190</v>
      </c>
      <c r="M125" t="s">
        <v>1027</v>
      </c>
      <c r="N125">
        <v>3</v>
      </c>
      <c r="O125" t="s">
        <v>2</v>
      </c>
      <c r="P125">
        <v>1715.478260869565</v>
      </c>
      <c r="Q125">
        <v>5146.434782608696</v>
      </c>
    </row>
    <row r="126" spans="1:17" x14ac:dyDescent="0.35">
      <c r="A126" t="s">
        <v>1084</v>
      </c>
      <c r="B126" t="str">
        <f t="shared" si="4"/>
        <v>Монитор</v>
      </c>
      <c r="C126" t="str">
        <f t="shared" si="5"/>
        <v xml:space="preserve"> u2412mb</v>
      </c>
      <c r="D126" t="str">
        <f t="shared" si="6"/>
        <v>2</v>
      </c>
      <c r="E126" t="s">
        <v>1701</v>
      </c>
      <c r="F126" t="s">
        <v>2109</v>
      </c>
      <c r="G126" t="s">
        <v>1990</v>
      </c>
      <c r="H126" t="str">
        <f t="shared" si="7"/>
        <v>u2412mb</v>
      </c>
      <c r="M126" t="s">
        <v>1085</v>
      </c>
      <c r="N126">
        <v>2</v>
      </c>
      <c r="O126" t="s">
        <v>871</v>
      </c>
      <c r="P126">
        <v>2257.6</v>
      </c>
      <c r="Q126">
        <v>4515.2</v>
      </c>
    </row>
    <row r="127" spans="1:17" x14ac:dyDescent="0.35">
      <c r="A127" t="s">
        <v>1086</v>
      </c>
      <c r="B127" t="str">
        <f t="shared" si="4"/>
        <v>Монитор</v>
      </c>
      <c r="C127" t="str">
        <f t="shared" si="5"/>
        <v xml:space="preserve"> kcd2090xi</v>
      </c>
      <c r="D127" t="str">
        <f t="shared" si="6"/>
        <v>1</v>
      </c>
      <c r="E127" t="s">
        <v>1701</v>
      </c>
      <c r="F127" t="s">
        <v>2110</v>
      </c>
      <c r="G127" t="s">
        <v>1996</v>
      </c>
      <c r="H127" t="str">
        <f t="shared" si="7"/>
        <v>kcd2090xi</v>
      </c>
      <c r="M127" t="s">
        <v>1087</v>
      </c>
      <c r="N127">
        <v>1</v>
      </c>
      <c r="O127" t="s">
        <v>871</v>
      </c>
      <c r="P127">
        <v>4456</v>
      </c>
      <c r="Q127">
        <v>4456</v>
      </c>
    </row>
    <row r="128" spans="1:17" x14ac:dyDescent="0.35">
      <c r="A128" t="s">
        <v>1088</v>
      </c>
      <c r="B128" t="str">
        <f t="shared" si="4"/>
        <v>Displayport to dvi -d</v>
      </c>
      <c r="C128" t="str">
        <f t="shared" si="5"/>
        <v xml:space="preserve"> fh973a</v>
      </c>
      <c r="D128" t="str">
        <f t="shared" si="6"/>
        <v>4</v>
      </c>
      <c r="E128" t="s">
        <v>1717</v>
      </c>
      <c r="F128" t="s">
        <v>2111</v>
      </c>
      <c r="G128" t="s">
        <v>2040</v>
      </c>
      <c r="H128" t="str">
        <f t="shared" si="7"/>
        <v>fh973a</v>
      </c>
      <c r="M128" t="s">
        <v>1089</v>
      </c>
      <c r="N128">
        <v>4</v>
      </c>
      <c r="O128" t="s">
        <v>871</v>
      </c>
      <c r="P128">
        <v>832.5</v>
      </c>
      <c r="Q128">
        <v>3330</v>
      </c>
    </row>
    <row r="129" spans="1:17" x14ac:dyDescent="0.35">
      <c r="A129" t="s">
        <v>1090</v>
      </c>
      <c r="B129" t="str">
        <f t="shared" si="4"/>
        <v>Монитор</v>
      </c>
      <c r="C129" t="str">
        <f t="shared" si="5"/>
        <v xml:space="preserve"> p2212hb</v>
      </c>
      <c r="D129" t="str">
        <f t="shared" si="6"/>
        <v>1</v>
      </c>
      <c r="E129" t="s">
        <v>1701</v>
      </c>
      <c r="F129" t="s">
        <v>2112</v>
      </c>
      <c r="G129" t="s">
        <v>1996</v>
      </c>
      <c r="H129" t="str">
        <f t="shared" si="7"/>
        <v>p2212hb</v>
      </c>
      <c r="M129" t="s">
        <v>1091</v>
      </c>
      <c r="N129">
        <v>1</v>
      </c>
      <c r="O129" t="s">
        <v>864</v>
      </c>
      <c r="P129">
        <v>3267.4</v>
      </c>
      <c r="Q129">
        <v>3267.4</v>
      </c>
    </row>
    <row r="130" spans="1:17" x14ac:dyDescent="0.35">
      <c r="A130" t="s">
        <v>1092</v>
      </c>
      <c r="B130" t="str">
        <f t="shared" si="4"/>
        <v>Монитор</v>
      </c>
      <c r="C130" t="str">
        <f t="shared" si="5"/>
        <v xml:space="preserve"> u2410f</v>
      </c>
      <c r="D130" t="str">
        <f t="shared" si="6"/>
        <v>1</v>
      </c>
      <c r="E130" t="s">
        <v>1701</v>
      </c>
      <c r="F130" t="s">
        <v>2113</v>
      </c>
      <c r="G130" t="s">
        <v>1996</v>
      </c>
      <c r="H130" t="str">
        <f t="shared" si="7"/>
        <v>u2410f</v>
      </c>
      <c r="M130" t="s">
        <v>870</v>
      </c>
      <c r="N130">
        <v>1</v>
      </c>
      <c r="O130" t="s">
        <v>871</v>
      </c>
      <c r="P130">
        <v>2970.3571428571431</v>
      </c>
      <c r="Q130">
        <v>2970.3571428571431</v>
      </c>
    </row>
    <row r="131" spans="1:17" x14ac:dyDescent="0.35">
      <c r="A131" t="s">
        <v>1093</v>
      </c>
      <c r="B131" t="str">
        <f t="shared" ref="B131:B194" si="8">LEFT(A131,FIND("модель/артикул",A131)-3)</f>
        <v>Cable</v>
      </c>
      <c r="C131" t="str">
        <f t="shared" ref="C131:C194" si="9">MID(A131,FIND("модель/артикул",A131)+14,FIND("кол-во",A131)-FIND("модель/артикул",A131)-16)</f>
        <v xml:space="preserve"> SCDUPLEX9/125-10</v>
      </c>
      <c r="D131" t="str">
        <f t="shared" ref="D131:D194" si="10">MID(A131,FIND("кол-во",A131)+7,LEN(A131))</f>
        <v>4</v>
      </c>
      <c r="E131" t="s">
        <v>1705</v>
      </c>
      <c r="F131" t="s">
        <v>2114</v>
      </c>
      <c r="G131" t="s">
        <v>2040</v>
      </c>
      <c r="H131" t="str">
        <f t="shared" ref="H131:H194" si="11">TRIM(F131)</f>
        <v>SCDUPLEX9/125-10</v>
      </c>
      <c r="M131" t="s">
        <v>1094</v>
      </c>
      <c r="N131">
        <v>4</v>
      </c>
      <c r="O131" t="s">
        <v>2</v>
      </c>
      <c r="P131">
        <v>617.5</v>
      </c>
      <c r="Q131">
        <v>2470</v>
      </c>
    </row>
    <row r="132" spans="1:17" x14ac:dyDescent="0.35">
      <c r="A132" t="s">
        <v>1095</v>
      </c>
      <c r="B132" t="str">
        <f t="shared" si="8"/>
        <v>WAP 2.5-10 END PLATE</v>
      </c>
      <c r="C132" t="str">
        <f t="shared" si="9"/>
        <v xml:space="preserve"> 1050000000</v>
      </c>
      <c r="D132" t="str">
        <f t="shared" si="10"/>
        <v>50</v>
      </c>
      <c r="E132" t="s">
        <v>1718</v>
      </c>
      <c r="F132" t="s">
        <v>2115</v>
      </c>
      <c r="G132" t="s">
        <v>2060</v>
      </c>
      <c r="H132" t="str">
        <f t="shared" si="11"/>
        <v>1050000000</v>
      </c>
      <c r="M132" t="s">
        <v>1096</v>
      </c>
      <c r="N132">
        <v>50</v>
      </c>
      <c r="O132" t="s">
        <v>2</v>
      </c>
      <c r="P132">
        <v>45.78</v>
      </c>
      <c r="Q132">
        <v>2289</v>
      </c>
    </row>
    <row r="133" spans="1:17" x14ac:dyDescent="0.35">
      <c r="A133" t="s">
        <v>1097</v>
      </c>
      <c r="B133" t="str">
        <f t="shared" si="8"/>
        <v>Optical wire SC-SCDuplex9/125 2m</v>
      </c>
      <c r="C133" t="str">
        <f t="shared" si="9"/>
        <v xml:space="preserve"> SC-SCDUPLEX9/125-2</v>
      </c>
      <c r="D133" t="str">
        <f t="shared" si="10"/>
        <v>4</v>
      </c>
      <c r="E133" t="s">
        <v>1719</v>
      </c>
      <c r="F133" t="s">
        <v>2116</v>
      </c>
      <c r="G133" t="s">
        <v>2040</v>
      </c>
      <c r="H133" t="str">
        <f t="shared" si="11"/>
        <v>SC-SCDUPLEX9/125-2</v>
      </c>
      <c r="M133" t="s">
        <v>1098</v>
      </c>
      <c r="N133">
        <v>4</v>
      </c>
      <c r="O133" t="s">
        <v>2</v>
      </c>
      <c r="P133">
        <v>458</v>
      </c>
      <c r="Q133">
        <v>1832</v>
      </c>
    </row>
    <row r="134" spans="1:17" x14ac:dyDescent="0.35">
      <c r="A134" t="s">
        <v>1099</v>
      </c>
      <c r="B134" t="str">
        <f t="shared" si="8"/>
        <v>Системный блок Компьютер</v>
      </c>
      <c r="C134" t="str">
        <f t="shared" si="9"/>
        <v xml:space="preserve"> p2213f</v>
      </c>
      <c r="D134" t="str">
        <f t="shared" si="10"/>
        <v>1</v>
      </c>
      <c r="E134" t="s">
        <v>1710</v>
      </c>
      <c r="F134" t="s">
        <v>2117</v>
      </c>
      <c r="G134" t="s">
        <v>1996</v>
      </c>
      <c r="H134" t="str">
        <f t="shared" si="11"/>
        <v>p2213f</v>
      </c>
      <c r="M134" t="s">
        <v>1100</v>
      </c>
      <c r="N134">
        <v>1</v>
      </c>
      <c r="O134" t="s">
        <v>871</v>
      </c>
      <c r="P134">
        <v>1782.166666666667</v>
      </c>
      <c r="Q134">
        <v>1782.166666666667</v>
      </c>
    </row>
    <row r="135" spans="1:17" x14ac:dyDescent="0.35">
      <c r="A135" t="s">
        <v>1101</v>
      </c>
      <c r="B135" t="str">
        <f t="shared" si="8"/>
        <v>Монитор</v>
      </c>
      <c r="C135" t="str">
        <f t="shared" si="9"/>
        <v xml:space="preserve"> p2213f</v>
      </c>
      <c r="D135" t="str">
        <f t="shared" si="10"/>
        <v>1</v>
      </c>
      <c r="E135" t="s">
        <v>1701</v>
      </c>
      <c r="F135" t="s">
        <v>2117</v>
      </c>
      <c r="G135" t="s">
        <v>1996</v>
      </c>
      <c r="H135" t="str">
        <f t="shared" si="11"/>
        <v>p2213f</v>
      </c>
      <c r="M135" t="s">
        <v>1100</v>
      </c>
      <c r="N135">
        <v>1</v>
      </c>
      <c r="O135" t="s">
        <v>871</v>
      </c>
      <c r="P135">
        <v>1782.166666666667</v>
      </c>
      <c r="Q135">
        <v>1782.166666666667</v>
      </c>
    </row>
    <row r="136" spans="1:17" x14ac:dyDescent="0.35">
      <c r="A136" t="s">
        <v>1102</v>
      </c>
      <c r="B136" t="str">
        <f t="shared" si="8"/>
        <v>Зарядное устройство</v>
      </c>
      <c r="C136" t="str">
        <f t="shared" si="9"/>
        <v xml:space="preserve"> 240w</v>
      </c>
      <c r="D136" t="str">
        <f t="shared" si="10"/>
        <v>1</v>
      </c>
      <c r="E136" t="s">
        <v>1720</v>
      </c>
      <c r="F136" t="s">
        <v>2118</v>
      </c>
      <c r="G136" t="s">
        <v>1996</v>
      </c>
      <c r="H136" t="str">
        <f t="shared" si="11"/>
        <v>240w</v>
      </c>
      <c r="M136" t="s">
        <v>1103</v>
      </c>
      <c r="N136">
        <v>1</v>
      </c>
      <c r="O136" t="s">
        <v>871</v>
      </c>
      <c r="P136">
        <v>1756</v>
      </c>
      <c r="Q136">
        <v>1756</v>
      </c>
    </row>
    <row r="137" spans="1:17" x14ac:dyDescent="0.35">
      <c r="A137" t="s">
        <v>1104</v>
      </c>
      <c r="B137" t="str">
        <f t="shared" si="8"/>
        <v>Металлические крепления</v>
      </c>
      <c r="C137" t="str">
        <f t="shared" si="9"/>
        <v xml:space="preserve"> LA5496411314</v>
      </c>
      <c r="D137" t="str">
        <f t="shared" si="10"/>
        <v>1</v>
      </c>
      <c r="E137" t="s">
        <v>1721</v>
      </c>
      <c r="F137" t="s">
        <v>2119</v>
      </c>
      <c r="G137" t="s">
        <v>1996</v>
      </c>
      <c r="H137" t="str">
        <f t="shared" si="11"/>
        <v>LA5496411314</v>
      </c>
      <c r="M137" t="s">
        <v>1105</v>
      </c>
      <c r="N137">
        <v>1</v>
      </c>
      <c r="O137" t="s">
        <v>2</v>
      </c>
      <c r="P137">
        <v>1215</v>
      </c>
      <c r="Q137">
        <v>1215</v>
      </c>
    </row>
    <row r="138" spans="1:17" x14ac:dyDescent="0.35">
      <c r="A138" t="s">
        <v>1106</v>
      </c>
      <c r="B138" t="str">
        <f t="shared" si="8"/>
        <v>Системный блок Компьютер</v>
      </c>
      <c r="C138" t="str">
        <f t="shared" si="9"/>
        <v xml:space="preserve"> 2208wfpt</v>
      </c>
      <c r="D138" t="str">
        <f t="shared" si="10"/>
        <v>1</v>
      </c>
      <c r="E138" t="s">
        <v>1710</v>
      </c>
      <c r="F138" t="s">
        <v>2120</v>
      </c>
      <c r="G138" t="s">
        <v>1996</v>
      </c>
      <c r="H138" t="str">
        <f t="shared" si="11"/>
        <v>2208wfpt</v>
      </c>
      <c r="M138" t="s">
        <v>1107</v>
      </c>
      <c r="N138">
        <v>1</v>
      </c>
      <c r="O138" t="s">
        <v>871</v>
      </c>
      <c r="P138">
        <v>1129</v>
      </c>
      <c r="Q138">
        <v>1129</v>
      </c>
    </row>
    <row r="139" spans="1:17" x14ac:dyDescent="0.35">
      <c r="A139" t="s">
        <v>1108</v>
      </c>
      <c r="B139" t="str">
        <f t="shared" si="8"/>
        <v>Optical wire SC-SCDuplex9/125 1m</v>
      </c>
      <c r="C139" t="str">
        <f t="shared" si="9"/>
        <v xml:space="preserve"> SC-SCDUPLEX9/125-1</v>
      </c>
      <c r="D139" t="str">
        <f t="shared" si="10"/>
        <v>2</v>
      </c>
      <c r="E139" t="s">
        <v>1722</v>
      </c>
      <c r="F139" t="s">
        <v>2121</v>
      </c>
      <c r="G139" t="s">
        <v>1990</v>
      </c>
      <c r="H139" t="str">
        <f t="shared" si="11"/>
        <v>SC-SCDUPLEX9/125-1</v>
      </c>
      <c r="M139" t="s">
        <v>1109</v>
      </c>
      <c r="N139">
        <v>2</v>
      </c>
      <c r="O139" t="s">
        <v>2</v>
      </c>
      <c r="P139">
        <v>439</v>
      </c>
      <c r="Q139">
        <v>878</v>
      </c>
    </row>
    <row r="140" spans="1:17" x14ac:dyDescent="0.35">
      <c r="A140" t="s">
        <v>1110</v>
      </c>
      <c r="B140" t="str">
        <f t="shared" si="8"/>
        <v>Монитор</v>
      </c>
      <c r="C140" t="str">
        <f t="shared" si="9"/>
        <v xml:space="preserve"> sdm-s93</v>
      </c>
      <c r="D140" t="str">
        <f t="shared" si="10"/>
        <v>1</v>
      </c>
      <c r="E140" t="s">
        <v>1701</v>
      </c>
      <c r="F140" t="s">
        <v>2122</v>
      </c>
      <c r="G140" t="s">
        <v>1996</v>
      </c>
      <c r="H140" t="str">
        <f t="shared" si="11"/>
        <v>sdm-s93</v>
      </c>
      <c r="M140" t="s">
        <v>1111</v>
      </c>
      <c r="N140">
        <v>1</v>
      </c>
      <c r="O140" t="s">
        <v>871</v>
      </c>
      <c r="P140">
        <v>713</v>
      </c>
      <c r="Q140">
        <v>713</v>
      </c>
    </row>
    <row r="141" spans="1:17" x14ac:dyDescent="0.35">
      <c r="A141" t="s">
        <v>1112</v>
      </c>
      <c r="B141" t="str">
        <f t="shared" si="8"/>
        <v>Док-станция</v>
      </c>
      <c r="C141" t="str">
        <f t="shared" si="9"/>
        <v xml:space="preserve"> sk8115</v>
      </c>
      <c r="D141" t="str">
        <f t="shared" si="10"/>
        <v>1</v>
      </c>
      <c r="E141" t="s">
        <v>1713</v>
      </c>
      <c r="F141" t="s">
        <v>2123</v>
      </c>
      <c r="G141" t="s">
        <v>1996</v>
      </c>
      <c r="H141" t="str">
        <f t="shared" si="11"/>
        <v>sk8115</v>
      </c>
      <c r="M141" t="s">
        <v>1113</v>
      </c>
      <c r="N141">
        <v>1</v>
      </c>
      <c r="O141" t="s">
        <v>871</v>
      </c>
      <c r="P141">
        <v>297</v>
      </c>
      <c r="Q141">
        <v>297</v>
      </c>
    </row>
    <row r="142" spans="1:17" x14ac:dyDescent="0.35">
      <c r="A142" t="s">
        <v>1114</v>
      </c>
      <c r="B142" t="str">
        <f t="shared" si="8"/>
        <v>Лампа</v>
      </c>
      <c r="C142" t="str">
        <f t="shared" si="9"/>
        <v xml:space="preserve"> kd-050 c03</v>
      </c>
      <c r="D142" t="str">
        <f t="shared" si="10"/>
        <v>2</v>
      </c>
      <c r="E142" t="s">
        <v>1723</v>
      </c>
      <c r="F142" t="s">
        <v>2124</v>
      </c>
      <c r="G142" t="s">
        <v>1990</v>
      </c>
      <c r="H142" t="str">
        <f t="shared" si="11"/>
        <v>kd-050 c03</v>
      </c>
      <c r="M142" t="s">
        <v>1115</v>
      </c>
      <c r="N142">
        <v>2</v>
      </c>
      <c r="Q142">
        <v>0</v>
      </c>
    </row>
    <row r="143" spans="1:17" x14ac:dyDescent="0.35">
      <c r="A143" t="s">
        <v>1116</v>
      </c>
      <c r="B143" t="str">
        <f t="shared" si="8"/>
        <v>Системный блок Компьютер</v>
      </c>
      <c r="C143" t="str">
        <f t="shared" si="9"/>
        <v xml:space="preserve"> optiplex 790</v>
      </c>
      <c r="D143" t="str">
        <f t="shared" si="10"/>
        <v>1</v>
      </c>
      <c r="E143" t="s">
        <v>1710</v>
      </c>
      <c r="F143" t="s">
        <v>2125</v>
      </c>
      <c r="G143" t="s">
        <v>1996</v>
      </c>
      <c r="H143" t="str">
        <f t="shared" si="11"/>
        <v>optiplex 790</v>
      </c>
      <c r="M143" t="s">
        <v>1117</v>
      </c>
      <c r="N143">
        <v>1</v>
      </c>
      <c r="Q143">
        <v>0</v>
      </c>
    </row>
    <row r="144" spans="1:17" x14ac:dyDescent="0.35">
      <c r="A144" t="s">
        <v>1118</v>
      </c>
      <c r="B144" t="str">
        <f t="shared" si="8"/>
        <v>Системный блок Компьютер</v>
      </c>
      <c r="C144" t="str">
        <f t="shared" si="9"/>
        <v xml:space="preserve"> precithion t1700</v>
      </c>
      <c r="D144" t="str">
        <f t="shared" si="10"/>
        <v>1</v>
      </c>
      <c r="E144" t="s">
        <v>1710</v>
      </c>
      <c r="F144" t="s">
        <v>2126</v>
      </c>
      <c r="G144" t="s">
        <v>1996</v>
      </c>
      <c r="H144" t="str">
        <f t="shared" si="11"/>
        <v>precithion t1700</v>
      </c>
      <c r="M144" t="s">
        <v>1119</v>
      </c>
      <c r="N144">
        <v>1</v>
      </c>
      <c r="Q144">
        <v>0</v>
      </c>
    </row>
    <row r="145" spans="1:17" x14ac:dyDescent="0.35">
      <c r="A145" t="s">
        <v>1120</v>
      </c>
      <c r="B145" t="str">
        <f t="shared" si="8"/>
        <v>Монитор</v>
      </c>
      <c r="C145" t="str">
        <f t="shared" si="9"/>
        <v xml:space="preserve"> lcd 2080i</v>
      </c>
      <c r="D145" t="str">
        <f t="shared" si="10"/>
        <v>1</v>
      </c>
      <c r="E145" t="s">
        <v>1701</v>
      </c>
      <c r="F145" t="s">
        <v>2127</v>
      </c>
      <c r="G145" t="s">
        <v>1996</v>
      </c>
      <c r="H145" t="str">
        <f t="shared" si="11"/>
        <v>lcd 2080i</v>
      </c>
      <c r="M145" t="s">
        <v>1121</v>
      </c>
      <c r="N145">
        <v>1</v>
      </c>
      <c r="Q145">
        <v>0</v>
      </c>
    </row>
    <row r="146" spans="1:17" x14ac:dyDescent="0.35">
      <c r="A146" t="s">
        <v>1122</v>
      </c>
      <c r="B146" t="str">
        <f t="shared" si="8"/>
        <v>Принтер</v>
      </c>
      <c r="C146" t="str">
        <f t="shared" si="9"/>
        <v xml:space="preserve"> phaser 3250</v>
      </c>
      <c r="D146" t="str">
        <f t="shared" si="10"/>
        <v>1</v>
      </c>
      <c r="E146" t="s">
        <v>1704</v>
      </c>
      <c r="F146" t="s">
        <v>2128</v>
      </c>
      <c r="G146" t="s">
        <v>1996</v>
      </c>
      <c r="H146" t="str">
        <f t="shared" si="11"/>
        <v>phaser 3250</v>
      </c>
      <c r="M146" t="s">
        <v>1123</v>
      </c>
      <c r="N146">
        <v>1</v>
      </c>
      <c r="Q146">
        <v>0</v>
      </c>
    </row>
    <row r="147" spans="1:17" x14ac:dyDescent="0.35">
      <c r="A147" t="s">
        <v>1124</v>
      </c>
      <c r="B147" t="str">
        <f t="shared" si="8"/>
        <v>Сканер</v>
      </c>
      <c r="C147" t="str">
        <f t="shared" si="9"/>
        <v xml:space="preserve"> perthection v100 photo</v>
      </c>
      <c r="D147" t="str">
        <f t="shared" si="10"/>
        <v>1</v>
      </c>
      <c r="E147" t="s">
        <v>1724</v>
      </c>
      <c r="F147" t="s">
        <v>2129</v>
      </c>
      <c r="G147" t="s">
        <v>1996</v>
      </c>
      <c r="H147" t="str">
        <f t="shared" si="11"/>
        <v>perthection v100 photo</v>
      </c>
      <c r="M147" t="s">
        <v>1125</v>
      </c>
      <c r="N147">
        <v>1</v>
      </c>
      <c r="Q147">
        <v>0</v>
      </c>
    </row>
    <row r="148" spans="1:17" x14ac:dyDescent="0.35">
      <c r="A148" t="s">
        <v>1126</v>
      </c>
      <c r="B148" t="str">
        <f t="shared" si="8"/>
        <v>Системный блок Компьютер</v>
      </c>
      <c r="C148" t="str">
        <f t="shared" si="9"/>
        <v xml:space="preserve"> optiplex 7020</v>
      </c>
      <c r="D148" t="str">
        <f t="shared" si="10"/>
        <v>1</v>
      </c>
      <c r="E148" t="s">
        <v>1710</v>
      </c>
      <c r="F148" t="s">
        <v>2130</v>
      </c>
      <c r="G148" t="s">
        <v>1996</v>
      </c>
      <c r="H148" t="str">
        <f t="shared" si="11"/>
        <v>optiplex 7020</v>
      </c>
      <c r="M148" t="s">
        <v>1117</v>
      </c>
      <c r="N148">
        <v>1</v>
      </c>
      <c r="Q148">
        <v>0</v>
      </c>
    </row>
    <row r="149" spans="1:17" x14ac:dyDescent="0.35">
      <c r="A149" t="s">
        <v>1127</v>
      </c>
      <c r="B149" t="str">
        <f t="shared" si="8"/>
        <v>Телефон</v>
      </c>
      <c r="C149" t="str">
        <f t="shared" si="9"/>
        <v xml:space="preserve"> ip phone 7942</v>
      </c>
      <c r="D149" t="str">
        <f t="shared" si="10"/>
        <v>17</v>
      </c>
      <c r="E149" t="s">
        <v>1725</v>
      </c>
      <c r="F149" t="s">
        <v>2131</v>
      </c>
      <c r="G149" t="s">
        <v>2132</v>
      </c>
      <c r="H149" t="str">
        <f t="shared" si="11"/>
        <v>ip phone 7942</v>
      </c>
      <c r="M149" t="s">
        <v>1128</v>
      </c>
      <c r="N149">
        <v>17</v>
      </c>
      <c r="Q149">
        <v>0</v>
      </c>
    </row>
    <row r="150" spans="1:17" x14ac:dyDescent="0.35">
      <c r="A150" t="s">
        <v>1129</v>
      </c>
      <c r="B150" t="str">
        <f t="shared" si="8"/>
        <v>Системный блок Компьютер</v>
      </c>
      <c r="C150" t="str">
        <f t="shared" si="9"/>
        <v xml:space="preserve"> precition t3500</v>
      </c>
      <c r="D150" t="str">
        <f t="shared" si="10"/>
        <v>1</v>
      </c>
      <c r="E150" t="s">
        <v>1710</v>
      </c>
      <c r="F150" t="s">
        <v>2133</v>
      </c>
      <c r="G150" t="s">
        <v>1996</v>
      </c>
      <c r="H150" t="str">
        <f t="shared" si="11"/>
        <v>precition t3500</v>
      </c>
      <c r="M150" t="s">
        <v>1130</v>
      </c>
      <c r="N150">
        <v>1</v>
      </c>
      <c r="Q150">
        <v>0</v>
      </c>
    </row>
    <row r="151" spans="1:17" x14ac:dyDescent="0.35">
      <c r="A151" t="s">
        <v>1131</v>
      </c>
      <c r="B151" t="str">
        <f t="shared" si="8"/>
        <v>Ноутбук</v>
      </c>
      <c r="C151" t="str">
        <f t="shared" si="9"/>
        <v xml:space="preserve"> latitude e 6420</v>
      </c>
      <c r="D151" t="str">
        <f t="shared" si="10"/>
        <v>1</v>
      </c>
      <c r="E151" t="s">
        <v>1711</v>
      </c>
      <c r="F151" t="s">
        <v>2134</v>
      </c>
      <c r="G151" t="s">
        <v>1996</v>
      </c>
      <c r="H151" t="str">
        <f t="shared" si="11"/>
        <v>latitude e 6420</v>
      </c>
      <c r="M151" t="s">
        <v>1132</v>
      </c>
      <c r="N151">
        <v>1</v>
      </c>
      <c r="Q151">
        <v>0</v>
      </c>
    </row>
    <row r="152" spans="1:17" x14ac:dyDescent="0.35">
      <c r="A152" t="s">
        <v>1133</v>
      </c>
      <c r="B152" t="str">
        <f t="shared" si="8"/>
        <v>Ноутбук</v>
      </c>
      <c r="C152" t="str">
        <f t="shared" si="9"/>
        <v xml:space="preserve"> pavilion dv5</v>
      </c>
      <c r="D152" t="str">
        <f t="shared" si="10"/>
        <v>1</v>
      </c>
      <c r="E152" t="s">
        <v>1711</v>
      </c>
      <c r="F152" t="s">
        <v>2135</v>
      </c>
      <c r="G152" t="s">
        <v>1996</v>
      </c>
      <c r="H152" t="str">
        <f t="shared" si="11"/>
        <v>pavilion dv5</v>
      </c>
      <c r="M152" t="s">
        <v>1134</v>
      </c>
      <c r="N152">
        <v>1</v>
      </c>
      <c r="Q152">
        <v>0</v>
      </c>
    </row>
    <row r="153" spans="1:17" x14ac:dyDescent="0.35">
      <c r="A153" t="s">
        <v>1135</v>
      </c>
      <c r="B153" t="str">
        <f t="shared" si="8"/>
        <v>Свитч</v>
      </c>
      <c r="C153" t="str">
        <f t="shared" si="9"/>
        <v xml:space="preserve"> catalist 2960</v>
      </c>
      <c r="D153" t="str">
        <f t="shared" si="10"/>
        <v>1</v>
      </c>
      <c r="E153" t="s">
        <v>1726</v>
      </c>
      <c r="F153" t="s">
        <v>2136</v>
      </c>
      <c r="G153" t="s">
        <v>1996</v>
      </c>
      <c r="H153" t="str">
        <f t="shared" si="11"/>
        <v>catalist 2960</v>
      </c>
      <c r="M153" t="s">
        <v>1136</v>
      </c>
      <c r="N153">
        <v>1</v>
      </c>
      <c r="Q153">
        <v>0</v>
      </c>
    </row>
    <row r="154" spans="1:17" x14ac:dyDescent="0.35">
      <c r="A154" t="s">
        <v>1137</v>
      </c>
      <c r="B154" t="str">
        <f t="shared" si="8"/>
        <v>Монитор</v>
      </c>
      <c r="C154" t="str">
        <f t="shared" si="9"/>
        <v xml:space="preserve"> glatron 24eb23py</v>
      </c>
      <c r="D154" t="str">
        <f t="shared" si="10"/>
        <v>1</v>
      </c>
      <c r="E154" t="s">
        <v>1701</v>
      </c>
      <c r="F154" t="s">
        <v>2137</v>
      </c>
      <c r="G154" t="s">
        <v>1996</v>
      </c>
      <c r="H154" t="str">
        <f t="shared" si="11"/>
        <v>glatron 24eb23py</v>
      </c>
      <c r="M154" t="s">
        <v>1138</v>
      </c>
      <c r="N154">
        <v>1</v>
      </c>
      <c r="Q154">
        <v>0</v>
      </c>
    </row>
    <row r="155" spans="1:17" x14ac:dyDescent="0.35">
      <c r="A155" t="s">
        <v>1139</v>
      </c>
      <c r="B155" t="str">
        <f t="shared" si="8"/>
        <v>Системный блок Компьютер</v>
      </c>
      <c r="C155" t="str">
        <f t="shared" si="9"/>
        <v xml:space="preserve"> precision t1700</v>
      </c>
      <c r="D155" t="str">
        <f t="shared" si="10"/>
        <v>1</v>
      </c>
      <c r="E155" t="s">
        <v>1710</v>
      </c>
      <c r="F155" t="s">
        <v>2138</v>
      </c>
      <c r="G155" t="s">
        <v>1996</v>
      </c>
      <c r="H155" t="str">
        <f t="shared" si="11"/>
        <v>precision t1700</v>
      </c>
      <c r="M155" t="s">
        <v>1140</v>
      </c>
      <c r="N155">
        <v>1</v>
      </c>
      <c r="Q155">
        <v>0</v>
      </c>
    </row>
    <row r="156" spans="1:17" x14ac:dyDescent="0.35">
      <c r="A156" t="s">
        <v>1141</v>
      </c>
      <c r="B156" t="str">
        <f t="shared" si="8"/>
        <v>Системный блок Компьютер</v>
      </c>
      <c r="C156" t="str">
        <f t="shared" si="9"/>
        <v xml:space="preserve"> optiplex 990</v>
      </c>
      <c r="D156" t="str">
        <f t="shared" si="10"/>
        <v>1</v>
      </c>
      <c r="E156" t="s">
        <v>1710</v>
      </c>
      <c r="F156" t="s">
        <v>2139</v>
      </c>
      <c r="G156" t="s">
        <v>1996</v>
      </c>
      <c r="H156" t="str">
        <f t="shared" si="11"/>
        <v>optiplex 990</v>
      </c>
      <c r="M156" t="s">
        <v>1117</v>
      </c>
      <c r="N156">
        <v>1</v>
      </c>
      <c r="Q156">
        <v>0</v>
      </c>
    </row>
    <row r="157" spans="1:17" x14ac:dyDescent="0.35">
      <c r="A157" t="s">
        <v>1116</v>
      </c>
      <c r="B157" t="str">
        <f t="shared" si="8"/>
        <v>Системный блок Компьютер</v>
      </c>
      <c r="C157" t="str">
        <f t="shared" si="9"/>
        <v xml:space="preserve"> optiplex 790</v>
      </c>
      <c r="D157" t="str">
        <f t="shared" si="10"/>
        <v>1</v>
      </c>
      <c r="E157" t="s">
        <v>1710</v>
      </c>
      <c r="F157" t="s">
        <v>2125</v>
      </c>
      <c r="G157" t="s">
        <v>1996</v>
      </c>
      <c r="H157" t="str">
        <f t="shared" si="11"/>
        <v>optiplex 790</v>
      </c>
      <c r="M157" t="s">
        <v>1117</v>
      </c>
      <c r="N157">
        <v>1</v>
      </c>
      <c r="Q157">
        <v>0</v>
      </c>
    </row>
    <row r="158" spans="1:17" x14ac:dyDescent="0.35">
      <c r="A158" t="s">
        <v>1142</v>
      </c>
      <c r="B158" t="str">
        <f t="shared" si="8"/>
        <v>Cable</v>
      </c>
      <c r="C158" t="str">
        <f t="shared" si="9"/>
        <v xml:space="preserve"> метров обрезки силового кабеля 2.5мм</v>
      </c>
      <c r="D158" t="str">
        <f t="shared" si="10"/>
        <v>1</v>
      </c>
      <c r="E158" t="s">
        <v>1705</v>
      </c>
      <c r="F158" t="s">
        <v>2140</v>
      </c>
      <c r="G158" t="s">
        <v>1996</v>
      </c>
      <c r="H158" t="str">
        <f t="shared" si="11"/>
        <v>метров обрезки силового кабеля 2.5мм</v>
      </c>
      <c r="M158" t="s">
        <v>1143</v>
      </c>
      <c r="N158">
        <v>1</v>
      </c>
      <c r="Q158">
        <v>0</v>
      </c>
    </row>
    <row r="159" spans="1:17" x14ac:dyDescent="0.35">
      <c r="A159" t="s">
        <v>1144</v>
      </c>
      <c r="B159" t="str">
        <f t="shared" si="8"/>
        <v>Принтер</v>
      </c>
      <c r="C159" t="str">
        <f t="shared" si="9"/>
        <v xml:space="preserve"> Color LaserJet Pro White A4 Printer M454DN</v>
      </c>
      <c r="D159" t="str">
        <f t="shared" si="10"/>
        <v>1</v>
      </c>
      <c r="E159" t="s">
        <v>1704</v>
      </c>
      <c r="F159" t="s">
        <v>2141</v>
      </c>
      <c r="G159" t="s">
        <v>1996</v>
      </c>
      <c r="H159" t="str">
        <f t="shared" si="11"/>
        <v>Color LaserJet Pro White A4 Printer M454DN</v>
      </c>
      <c r="M159" t="s">
        <v>1145</v>
      </c>
      <c r="N159">
        <v>1</v>
      </c>
      <c r="Q159">
        <v>0</v>
      </c>
    </row>
    <row r="160" spans="1:17" x14ac:dyDescent="0.35">
      <c r="A160" t="s">
        <v>1146</v>
      </c>
      <c r="B160" t="str">
        <f t="shared" si="8"/>
        <v>CORDED EARPLUG 1CS=500PAIRS</v>
      </c>
      <c r="C160" t="str">
        <f t="shared" si="9"/>
        <v xml:space="preserve"> 304L 1000106</v>
      </c>
      <c r="D160" t="str">
        <f t="shared" si="10"/>
        <v>10</v>
      </c>
      <c r="E160" t="s">
        <v>1727</v>
      </c>
      <c r="F160" t="s">
        <v>2142</v>
      </c>
      <c r="G160" t="s">
        <v>2050</v>
      </c>
      <c r="H160" t="str">
        <f t="shared" si="11"/>
        <v>304L 1000106</v>
      </c>
      <c r="M160" t="s">
        <v>1147</v>
      </c>
      <c r="N160">
        <v>10</v>
      </c>
      <c r="Q160">
        <v>0</v>
      </c>
    </row>
    <row r="161" spans="1:17" x14ac:dyDescent="0.35">
      <c r="A161" t="s">
        <v>1148</v>
      </c>
      <c r="B161" t="str">
        <f t="shared" si="8"/>
        <v>Камера видеонаблюдения</v>
      </c>
      <c r="C161" t="str">
        <f t="shared" si="9"/>
        <v xml:space="preserve"> HBL6GR2 4.1</v>
      </c>
      <c r="D161" t="str">
        <f t="shared" si="10"/>
        <v>5</v>
      </c>
      <c r="E161" t="s">
        <v>1678</v>
      </c>
      <c r="F161" t="s">
        <v>2143</v>
      </c>
      <c r="G161" t="s">
        <v>1967</v>
      </c>
      <c r="H161" t="str">
        <f t="shared" si="11"/>
        <v>HBL6GR2 4.1</v>
      </c>
      <c r="M161" t="s">
        <v>1149</v>
      </c>
      <c r="N161">
        <v>5</v>
      </c>
      <c r="Q161">
        <v>0</v>
      </c>
    </row>
    <row r="162" spans="1:17" x14ac:dyDescent="0.35">
      <c r="A162" t="s">
        <v>1150</v>
      </c>
      <c r="B162" t="str">
        <f t="shared" si="8"/>
        <v>Шкаф серверный</v>
      </c>
      <c r="C162" t="str">
        <f t="shared" si="9"/>
        <v xml:space="preserve"> easy rack sr 24 he 584900 800x1300x800</v>
      </c>
      <c r="D162" t="str">
        <f t="shared" si="10"/>
        <v>1</v>
      </c>
      <c r="E162" t="s">
        <v>1728</v>
      </c>
      <c r="F162" t="s">
        <v>2144</v>
      </c>
      <c r="G162" t="s">
        <v>1996</v>
      </c>
      <c r="H162" t="str">
        <f t="shared" si="11"/>
        <v>easy rack sr 24 he 584900 800x1300x800</v>
      </c>
      <c r="M162" t="s">
        <v>1151</v>
      </c>
      <c r="N162">
        <v>1</v>
      </c>
      <c r="Q162">
        <v>0</v>
      </c>
    </row>
    <row r="163" spans="1:17" x14ac:dyDescent="0.35">
      <c r="A163" t="s">
        <v>1150</v>
      </c>
      <c r="B163" t="str">
        <f t="shared" si="8"/>
        <v>Шкаф серверный</v>
      </c>
      <c r="C163" t="str">
        <f t="shared" si="9"/>
        <v xml:space="preserve"> easy rack sr 24 he 584900 800x1300x800</v>
      </c>
      <c r="D163" t="str">
        <f t="shared" si="10"/>
        <v>1</v>
      </c>
      <c r="E163" t="s">
        <v>1728</v>
      </c>
      <c r="F163" t="s">
        <v>2144</v>
      </c>
      <c r="G163" t="s">
        <v>1996</v>
      </c>
      <c r="H163" t="str">
        <f t="shared" si="11"/>
        <v>easy rack sr 24 he 584900 800x1300x800</v>
      </c>
      <c r="M163" t="s">
        <v>1151</v>
      </c>
      <c r="N163">
        <v>1</v>
      </c>
      <c r="Q163">
        <v>0</v>
      </c>
    </row>
    <row r="164" spans="1:17" x14ac:dyDescent="0.35">
      <c r="A164" t="s">
        <v>1150</v>
      </c>
      <c r="B164" t="str">
        <f t="shared" si="8"/>
        <v>Шкаф серверный</v>
      </c>
      <c r="C164" t="str">
        <f t="shared" si="9"/>
        <v xml:space="preserve"> easy rack sr 24 he 584900 800x1300x800</v>
      </c>
      <c r="D164" t="str">
        <f t="shared" si="10"/>
        <v>1</v>
      </c>
      <c r="E164" t="s">
        <v>1728</v>
      </c>
      <c r="F164" t="s">
        <v>2144</v>
      </c>
      <c r="G164" t="s">
        <v>1996</v>
      </c>
      <c r="H164" t="str">
        <f t="shared" si="11"/>
        <v>easy rack sr 24 he 584900 800x1300x800</v>
      </c>
      <c r="M164" t="s">
        <v>1151</v>
      </c>
      <c r="N164">
        <v>1</v>
      </c>
      <c r="Q164">
        <v>0</v>
      </c>
    </row>
    <row r="165" spans="1:17" x14ac:dyDescent="0.35">
      <c r="A165" t="s">
        <v>1150</v>
      </c>
      <c r="B165" t="str">
        <f t="shared" si="8"/>
        <v>Шкаф серверный</v>
      </c>
      <c r="C165" t="str">
        <f t="shared" si="9"/>
        <v xml:space="preserve"> easy rack sr 24 he 584900 800x1300x800</v>
      </c>
      <c r="D165" t="str">
        <f t="shared" si="10"/>
        <v>1</v>
      </c>
      <c r="E165" t="s">
        <v>1728</v>
      </c>
      <c r="F165" t="s">
        <v>2144</v>
      </c>
      <c r="G165" t="s">
        <v>1996</v>
      </c>
      <c r="H165" t="str">
        <f t="shared" si="11"/>
        <v>easy rack sr 24 he 584900 800x1300x800</v>
      </c>
      <c r="M165" t="s">
        <v>1151</v>
      </c>
      <c r="N165">
        <v>1</v>
      </c>
      <c r="Q165">
        <v>0</v>
      </c>
    </row>
    <row r="166" spans="1:17" x14ac:dyDescent="0.35">
      <c r="A166" t="s">
        <v>1152</v>
      </c>
      <c r="B166" t="str">
        <f t="shared" si="8"/>
        <v>Loudspeaker</v>
      </c>
      <c r="C166" t="str">
        <f t="shared" si="9"/>
        <v xml:space="preserve"> l-vom40a/en (1020902004</v>
      </c>
      <c r="D166" t="str">
        <f t="shared" si="10"/>
        <v>6</v>
      </c>
      <c r="E166" t="s">
        <v>1729</v>
      </c>
      <c r="F166" t="s">
        <v>2145</v>
      </c>
      <c r="G166" t="s">
        <v>1955</v>
      </c>
      <c r="H166" t="str">
        <f t="shared" si="11"/>
        <v>l-vom40a/en (1020902004</v>
      </c>
      <c r="M166" t="s">
        <v>1153</v>
      </c>
      <c r="N166">
        <v>6</v>
      </c>
      <c r="Q166">
        <v>0</v>
      </c>
    </row>
    <row r="167" spans="1:17" x14ac:dyDescent="0.35">
      <c r="A167" t="s">
        <v>1150</v>
      </c>
      <c r="B167" t="str">
        <f t="shared" si="8"/>
        <v>Шкаф серверный</v>
      </c>
      <c r="C167" t="str">
        <f t="shared" si="9"/>
        <v xml:space="preserve"> easy rack sr 24 he 584900 800x1300x800</v>
      </c>
      <c r="D167" t="str">
        <f t="shared" si="10"/>
        <v>1</v>
      </c>
      <c r="E167" t="s">
        <v>1728</v>
      </c>
      <c r="F167" t="s">
        <v>2144</v>
      </c>
      <c r="G167" t="s">
        <v>1996</v>
      </c>
      <c r="H167" t="str">
        <f t="shared" si="11"/>
        <v>easy rack sr 24 he 584900 800x1300x800</v>
      </c>
      <c r="M167" t="s">
        <v>1151</v>
      </c>
      <c r="N167">
        <v>1</v>
      </c>
      <c r="Q167">
        <v>0</v>
      </c>
    </row>
    <row r="168" spans="1:17" x14ac:dyDescent="0.35">
      <c r="A168" t="s">
        <v>1150</v>
      </c>
      <c r="B168" t="str">
        <f t="shared" si="8"/>
        <v>Шкаф серверный</v>
      </c>
      <c r="C168" t="str">
        <f t="shared" si="9"/>
        <v xml:space="preserve"> easy rack sr 24 he 584900 800x1300x800</v>
      </c>
      <c r="D168" t="str">
        <f t="shared" si="10"/>
        <v>1</v>
      </c>
      <c r="E168" t="s">
        <v>1728</v>
      </c>
      <c r="F168" t="s">
        <v>2144</v>
      </c>
      <c r="G168" t="s">
        <v>1996</v>
      </c>
      <c r="H168" t="str">
        <f t="shared" si="11"/>
        <v>easy rack sr 24 he 584900 800x1300x800</v>
      </c>
      <c r="M168" t="s">
        <v>1151</v>
      </c>
      <c r="N168">
        <v>1</v>
      </c>
      <c r="Q168">
        <v>0</v>
      </c>
    </row>
    <row r="169" spans="1:17" x14ac:dyDescent="0.35">
      <c r="A169" t="s">
        <v>1154</v>
      </c>
      <c r="B169" t="str">
        <f t="shared" si="8"/>
        <v>BWC4 - O2, LEL, H2S, CO, Yellow, RU</v>
      </c>
      <c r="C169" t="str">
        <f t="shared" si="9"/>
        <v xml:space="preserve"> BWC4-Y-R</v>
      </c>
      <c r="D169" t="str">
        <f t="shared" si="10"/>
        <v>290</v>
      </c>
      <c r="E169" t="s">
        <v>2146</v>
      </c>
      <c r="F169" t="s">
        <v>2147</v>
      </c>
      <c r="G169" t="s">
        <v>2148</v>
      </c>
      <c r="H169" t="str">
        <f t="shared" si="11"/>
        <v>BWC4-Y-R</v>
      </c>
      <c r="M169" t="s">
        <v>1155</v>
      </c>
      <c r="N169">
        <v>290</v>
      </c>
      <c r="O169" t="s">
        <v>2</v>
      </c>
      <c r="P169">
        <v>97560.261290322582</v>
      </c>
      <c r="Q169">
        <v>28292475.774193551</v>
      </c>
    </row>
    <row r="170" spans="1:17" x14ac:dyDescent="0.35">
      <c r="A170" t="s">
        <v>1156</v>
      </c>
      <c r="B170" t="str">
        <f t="shared" si="8"/>
        <v>BACNET MS/TP HVAC CONTROLLER</v>
      </c>
      <c r="C170" t="str">
        <f t="shared" si="9"/>
        <v xml:space="preserve"> CPO-RL4</v>
      </c>
      <c r="D170" t="str">
        <f t="shared" si="10"/>
        <v>200</v>
      </c>
      <c r="E170" t="s">
        <v>1730</v>
      </c>
      <c r="F170" t="s">
        <v>2149</v>
      </c>
      <c r="G170" t="s">
        <v>1983</v>
      </c>
      <c r="H170" t="str">
        <f t="shared" si="11"/>
        <v>CPO-RL4</v>
      </c>
      <c r="M170" t="s">
        <v>1157</v>
      </c>
      <c r="N170">
        <v>200</v>
      </c>
      <c r="O170" t="s">
        <v>2</v>
      </c>
      <c r="P170">
        <v>49970.553124999999</v>
      </c>
      <c r="Q170">
        <v>9994110.625</v>
      </c>
    </row>
    <row r="171" spans="1:17" x14ac:dyDescent="0.35">
      <c r="A171" t="s">
        <v>1158</v>
      </c>
      <c r="B171" t="str">
        <f t="shared" si="8"/>
        <v>Извещатель Optical smoke detector</v>
      </c>
      <c r="C171" t="str">
        <f t="shared" si="9"/>
        <v xml:space="preserve"> 802371</v>
      </c>
      <c r="D171" t="str">
        <f t="shared" si="10"/>
        <v>1139</v>
      </c>
      <c r="E171" t="s">
        <v>1650</v>
      </c>
      <c r="F171" t="s">
        <v>1936</v>
      </c>
      <c r="G171" t="s">
        <v>2150</v>
      </c>
      <c r="H171" t="str">
        <f t="shared" si="11"/>
        <v>802371</v>
      </c>
      <c r="M171" t="s">
        <v>900</v>
      </c>
      <c r="N171">
        <v>1139</v>
      </c>
      <c r="O171" t="s">
        <v>5</v>
      </c>
      <c r="P171">
        <v>6535.7600055393987</v>
      </c>
      <c r="Q171">
        <v>7444230.6463093748</v>
      </c>
    </row>
    <row r="172" spans="1:17" x14ac:dyDescent="0.35">
      <c r="A172" t="s">
        <v>761</v>
      </c>
      <c r="B172" t="str">
        <f t="shared" si="8"/>
        <v>Панель удаленных модулей C300 Panel</v>
      </c>
      <c r="C172" t="str">
        <f t="shared" si="9"/>
        <v xml:space="preserve"> PANC300-03</v>
      </c>
      <c r="D172" t="str">
        <f t="shared" si="10"/>
        <v>1</v>
      </c>
      <c r="E172" t="s">
        <v>1731</v>
      </c>
      <c r="F172" t="s">
        <v>2151</v>
      </c>
      <c r="G172" t="s">
        <v>1996</v>
      </c>
      <c r="H172" t="str">
        <f t="shared" si="11"/>
        <v>PANC300-03</v>
      </c>
      <c r="M172" t="s">
        <v>762</v>
      </c>
      <c r="N172">
        <v>1</v>
      </c>
      <c r="O172" t="s">
        <v>5</v>
      </c>
      <c r="P172">
        <v>3886297</v>
      </c>
      <c r="Q172">
        <v>3886297</v>
      </c>
    </row>
    <row r="173" spans="1:17" x14ac:dyDescent="0.35">
      <c r="A173" t="s">
        <v>763</v>
      </c>
      <c r="B173" t="str">
        <f t="shared" si="8"/>
        <v>Панель удаленных модулей C300 Panel</v>
      </c>
      <c r="C173" t="str">
        <f t="shared" si="9"/>
        <v xml:space="preserve"> PANC300-04</v>
      </c>
      <c r="D173" t="str">
        <f t="shared" si="10"/>
        <v>1</v>
      </c>
      <c r="E173" t="s">
        <v>1731</v>
      </c>
      <c r="F173" t="s">
        <v>2152</v>
      </c>
      <c r="G173" t="s">
        <v>1996</v>
      </c>
      <c r="H173" t="str">
        <f t="shared" si="11"/>
        <v>PANC300-04</v>
      </c>
      <c r="M173" t="s">
        <v>764</v>
      </c>
      <c r="N173">
        <v>1</v>
      </c>
      <c r="O173" t="s">
        <v>5</v>
      </c>
      <c r="P173">
        <v>3886297</v>
      </c>
      <c r="Q173">
        <v>3886297</v>
      </c>
    </row>
    <row r="174" spans="1:17" x14ac:dyDescent="0.35">
      <c r="A174" t="s">
        <v>1159</v>
      </c>
      <c r="B174" t="str">
        <f t="shared" si="8"/>
        <v>GASALERT SERIES IR CONNECTIVITY KIT</v>
      </c>
      <c r="C174" t="str">
        <f t="shared" si="9"/>
        <v xml:space="preserve"> 129625-L3</v>
      </c>
      <c r="D174" t="str">
        <f t="shared" si="10"/>
        <v>48</v>
      </c>
      <c r="E174" t="s">
        <v>1732</v>
      </c>
      <c r="F174" t="s">
        <v>2153</v>
      </c>
      <c r="G174" t="s">
        <v>2154</v>
      </c>
      <c r="H174" t="str">
        <f t="shared" si="11"/>
        <v>129625-L3</v>
      </c>
      <c r="M174" t="s">
        <v>1160</v>
      </c>
      <c r="N174">
        <v>48</v>
      </c>
      <c r="O174" t="s">
        <v>5</v>
      </c>
      <c r="P174">
        <v>55352</v>
      </c>
      <c r="Q174">
        <v>2656896</v>
      </c>
    </row>
    <row r="175" spans="1:17" x14ac:dyDescent="0.35">
      <c r="A175" t="s">
        <v>1161</v>
      </c>
      <c r="B175" t="str">
        <f t="shared" si="8"/>
        <v>XNX CU-TR M25 ALU CAT HT REL</v>
      </c>
      <c r="C175" t="str">
        <f t="shared" si="9"/>
        <v xml:space="preserve"> XNX-RMAV-RNNNN</v>
      </c>
      <c r="D175" t="str">
        <f t="shared" si="10"/>
        <v>20</v>
      </c>
      <c r="E175" t="s">
        <v>1733</v>
      </c>
      <c r="F175" t="s">
        <v>2155</v>
      </c>
      <c r="G175" t="s">
        <v>2078</v>
      </c>
      <c r="H175" t="str">
        <f t="shared" si="11"/>
        <v>XNX-RMAV-RNNNN</v>
      </c>
      <c r="M175" t="s">
        <v>1162</v>
      </c>
      <c r="N175">
        <v>20</v>
      </c>
      <c r="O175" t="s">
        <v>2</v>
      </c>
      <c r="P175">
        <v>120997.85</v>
      </c>
      <c r="Q175">
        <v>2419957</v>
      </c>
    </row>
    <row r="176" spans="1:17" x14ac:dyDescent="0.35">
      <c r="A176" t="s">
        <v>1163</v>
      </c>
      <c r="B176" t="str">
        <f t="shared" si="8"/>
        <v>FTA-C300-16DI-F-SLIM-G3-S</v>
      </c>
      <c r="C176" t="str">
        <f t="shared" si="9"/>
        <v xml:space="preserve"> 7508001858</v>
      </c>
      <c r="D176" t="str">
        <f t="shared" si="10"/>
        <v>53</v>
      </c>
      <c r="E176" t="s">
        <v>1734</v>
      </c>
      <c r="F176" t="s">
        <v>2156</v>
      </c>
      <c r="G176" t="s">
        <v>2157</v>
      </c>
      <c r="H176" t="str">
        <f t="shared" si="11"/>
        <v>7508001858</v>
      </c>
      <c r="M176" t="s">
        <v>1164</v>
      </c>
      <c r="N176">
        <v>53</v>
      </c>
      <c r="O176" t="s">
        <v>2</v>
      </c>
      <c r="P176">
        <v>45412.67924528302</v>
      </c>
      <c r="Q176">
        <v>2406872</v>
      </c>
    </row>
    <row r="177" spans="1:17" x14ac:dyDescent="0.35">
      <c r="A177" t="s">
        <v>1165</v>
      </c>
      <c r="B177" t="str">
        <f t="shared" si="8"/>
        <v>ASD1/V2-COMPLETE</v>
      </c>
      <c r="C177" t="str">
        <f t="shared" si="9"/>
        <v xml:space="preserve"> 280869341</v>
      </c>
      <c r="D177" t="str">
        <f t="shared" si="10"/>
        <v>86</v>
      </c>
      <c r="E177" t="s">
        <v>1735</v>
      </c>
      <c r="F177" t="s">
        <v>2158</v>
      </c>
      <c r="G177" t="s">
        <v>2159</v>
      </c>
      <c r="H177" t="str">
        <f t="shared" si="11"/>
        <v>280869341</v>
      </c>
      <c r="M177" t="s">
        <v>1166</v>
      </c>
      <c r="N177">
        <v>86</v>
      </c>
      <c r="O177" t="s">
        <v>2</v>
      </c>
      <c r="P177">
        <v>25664.6</v>
      </c>
      <c r="Q177">
        <v>2207155.6</v>
      </c>
    </row>
    <row r="178" spans="1:17" x14ac:dyDescent="0.35">
      <c r="A178" t="s">
        <v>1167</v>
      </c>
      <c r="B178" t="str">
        <f t="shared" si="8"/>
        <v>COMB GAS VALVE 230V</v>
      </c>
      <c r="C178" t="str">
        <f t="shared" si="9"/>
        <v xml:space="preserve"> VR420VA1004-0000</v>
      </c>
      <c r="D178" t="str">
        <f t="shared" si="10"/>
        <v>18</v>
      </c>
      <c r="E178" t="s">
        <v>1736</v>
      </c>
      <c r="F178" t="s">
        <v>2160</v>
      </c>
      <c r="G178" t="s">
        <v>1997</v>
      </c>
      <c r="H178" t="str">
        <f t="shared" si="11"/>
        <v>VR420VA1004-0000</v>
      </c>
      <c r="M178" t="s">
        <v>1168</v>
      </c>
      <c r="N178">
        <v>18</v>
      </c>
      <c r="O178" t="s">
        <v>2</v>
      </c>
      <c r="P178">
        <v>115744.6086956522</v>
      </c>
      <c r="Q178">
        <v>2083402.956521739</v>
      </c>
    </row>
    <row r="179" spans="1:17" x14ac:dyDescent="0.35">
      <c r="A179" t="s">
        <v>1169</v>
      </c>
      <c r="B179" t="str">
        <f t="shared" si="8"/>
        <v>DAMPER ACTUATOR 5NM 24V 0-10V</v>
      </c>
      <c r="C179" t="str">
        <f t="shared" si="9"/>
        <v xml:space="preserve"> N05010</v>
      </c>
      <c r="D179" t="str">
        <f t="shared" si="10"/>
        <v>118</v>
      </c>
      <c r="E179" t="s">
        <v>1737</v>
      </c>
      <c r="F179" t="s">
        <v>2161</v>
      </c>
      <c r="G179" t="s">
        <v>2162</v>
      </c>
      <c r="H179" t="str">
        <f t="shared" si="11"/>
        <v>N05010</v>
      </c>
      <c r="M179" t="s">
        <v>1170</v>
      </c>
      <c r="N179">
        <v>118</v>
      </c>
      <c r="O179" t="s">
        <v>2</v>
      </c>
      <c r="P179">
        <v>14984.09523809524</v>
      </c>
      <c r="Q179">
        <v>1768123.2380952381</v>
      </c>
    </row>
    <row r="180" spans="1:17" x14ac:dyDescent="0.35">
      <c r="A180" t="s">
        <v>1171</v>
      </c>
      <c r="B180" t="str">
        <f t="shared" si="8"/>
        <v>PSU 52Ah for MB-Secure</v>
      </c>
      <c r="C180" t="str">
        <f t="shared" si="9"/>
        <v xml:space="preserve"> 13960</v>
      </c>
      <c r="D180" t="str">
        <f t="shared" si="10"/>
        <v>28</v>
      </c>
      <c r="E180" t="s">
        <v>1738</v>
      </c>
      <c r="F180" t="s">
        <v>2163</v>
      </c>
      <c r="G180" t="s">
        <v>1980</v>
      </c>
      <c r="H180" t="str">
        <f t="shared" si="11"/>
        <v>13960</v>
      </c>
      <c r="M180" t="s">
        <v>415</v>
      </c>
      <c r="N180">
        <v>28</v>
      </c>
      <c r="O180" t="s">
        <v>5</v>
      </c>
      <c r="P180">
        <v>46288.364705882363</v>
      </c>
      <c r="Q180">
        <v>1296074.2117647061</v>
      </c>
    </row>
    <row r="181" spans="1:17" x14ac:dyDescent="0.35">
      <c r="A181" t="s">
        <v>1172</v>
      </c>
      <c r="B181" t="str">
        <f t="shared" si="8"/>
        <v>FTA-C300-16DI-F-SLIM-G3-S</v>
      </c>
      <c r="C181" t="str">
        <f t="shared" si="9"/>
        <v xml:space="preserve"> 7508001857</v>
      </c>
      <c r="D181" t="str">
        <f t="shared" si="10"/>
        <v>30</v>
      </c>
      <c r="E181" t="s">
        <v>1734</v>
      </c>
      <c r="F181" t="s">
        <v>2164</v>
      </c>
      <c r="G181" t="s">
        <v>2000</v>
      </c>
      <c r="H181" t="str">
        <f t="shared" si="11"/>
        <v>7508001857</v>
      </c>
      <c r="M181" t="s">
        <v>1173</v>
      </c>
      <c r="N181">
        <v>30</v>
      </c>
      <c r="O181" t="s">
        <v>2</v>
      </c>
      <c r="P181">
        <v>40670.199999999997</v>
      </c>
      <c r="Q181">
        <v>1220106</v>
      </c>
    </row>
    <row r="182" spans="1:17" x14ac:dyDescent="0.35">
      <c r="A182" t="s">
        <v>1174</v>
      </c>
      <c r="B182" t="str">
        <f t="shared" si="8"/>
        <v>1800N CORELLA 230V</v>
      </c>
      <c r="C182" t="str">
        <f t="shared" si="9"/>
        <v xml:space="preserve"> ML6421A3013</v>
      </c>
      <c r="D182" t="str">
        <f t="shared" si="10"/>
        <v>22</v>
      </c>
      <c r="E182" t="s">
        <v>1739</v>
      </c>
      <c r="F182" t="s">
        <v>2165</v>
      </c>
      <c r="G182" t="s">
        <v>2056</v>
      </c>
      <c r="H182" t="str">
        <f t="shared" si="11"/>
        <v>ML6421A3013</v>
      </c>
      <c r="M182" t="s">
        <v>1175</v>
      </c>
      <c r="N182">
        <v>22</v>
      </c>
      <c r="O182" t="s">
        <v>5</v>
      </c>
      <c r="P182">
        <v>48149</v>
      </c>
      <c r="Q182">
        <v>1059278</v>
      </c>
    </row>
    <row r="183" spans="1:17" x14ac:dyDescent="0.35">
      <c r="A183" t="s">
        <v>1176</v>
      </c>
      <c r="B183" t="str">
        <f t="shared" si="8"/>
        <v>Настенный датчик температуры 20 K DIGITAL WALL MODULE</v>
      </c>
      <c r="C183" t="str">
        <f t="shared" si="9"/>
        <v xml:space="preserve"> T7560B1008</v>
      </c>
      <c r="D183" t="str">
        <f t="shared" si="10"/>
        <v>43</v>
      </c>
      <c r="E183" t="s">
        <v>1740</v>
      </c>
      <c r="F183" t="s">
        <v>2166</v>
      </c>
      <c r="G183" t="s">
        <v>2167</v>
      </c>
      <c r="H183" t="str">
        <f t="shared" si="11"/>
        <v>T7560B1008</v>
      </c>
      <c r="M183" t="s">
        <v>1177</v>
      </c>
      <c r="N183">
        <v>43</v>
      </c>
      <c r="O183" t="s">
        <v>5</v>
      </c>
      <c r="P183">
        <v>21939.272727272732</v>
      </c>
      <c r="Q183">
        <v>943388.72727272729</v>
      </c>
    </row>
    <row r="184" spans="1:17" x14ac:dyDescent="0.35">
      <c r="A184" t="s">
        <v>1178</v>
      </c>
      <c r="B184" t="str">
        <f t="shared" si="8"/>
        <v>Digital Input Module</v>
      </c>
      <c r="C184" t="str">
        <f t="shared" si="9"/>
        <v xml:space="preserve"> TPPR-V-1040</v>
      </c>
      <c r="D184" t="str">
        <f t="shared" si="10"/>
        <v>9</v>
      </c>
      <c r="E184" t="s">
        <v>1741</v>
      </c>
      <c r="F184" t="s">
        <v>2168</v>
      </c>
      <c r="G184" t="s">
        <v>1984</v>
      </c>
      <c r="H184" t="str">
        <f t="shared" si="11"/>
        <v>TPPR-V-1040</v>
      </c>
      <c r="M184" t="s">
        <v>1179</v>
      </c>
      <c r="N184">
        <v>9</v>
      </c>
      <c r="O184" t="s">
        <v>2</v>
      </c>
      <c r="P184">
        <v>100189.55555555561</v>
      </c>
      <c r="Q184">
        <v>901706</v>
      </c>
    </row>
    <row r="185" spans="1:17" x14ac:dyDescent="0.35">
      <c r="A185" t="s">
        <v>1180</v>
      </c>
      <c r="B185" t="str">
        <f t="shared" si="8"/>
        <v>WKS PC DELL R7920XL RAID1 RACK</v>
      </c>
      <c r="C185" t="str">
        <f t="shared" si="9"/>
        <v xml:space="preserve"> MZ-PCWS77</v>
      </c>
      <c r="D185" t="str">
        <f t="shared" si="10"/>
        <v>4</v>
      </c>
      <c r="E185" t="s">
        <v>1742</v>
      </c>
      <c r="F185" t="s">
        <v>2169</v>
      </c>
      <c r="G185" t="s">
        <v>2040</v>
      </c>
      <c r="H185" t="str">
        <f t="shared" si="11"/>
        <v>MZ-PCWS77</v>
      </c>
      <c r="M185" t="s">
        <v>1181</v>
      </c>
      <c r="N185">
        <v>4</v>
      </c>
      <c r="O185" t="s">
        <v>5</v>
      </c>
      <c r="P185">
        <v>206421.5</v>
      </c>
      <c r="Q185">
        <v>825686</v>
      </c>
    </row>
    <row r="186" spans="1:17" x14ac:dyDescent="0.35">
      <c r="A186" t="s">
        <v>1182</v>
      </c>
      <c r="B186" t="str">
        <f t="shared" si="8"/>
        <v>1800N CORELLA 230V</v>
      </c>
      <c r="C186" t="str">
        <f t="shared" si="9"/>
        <v xml:space="preserve"> ML6421A3013</v>
      </c>
      <c r="D186" t="str">
        <f t="shared" si="10"/>
        <v>17</v>
      </c>
      <c r="E186" t="s">
        <v>1739</v>
      </c>
      <c r="F186" t="s">
        <v>2165</v>
      </c>
      <c r="G186" t="s">
        <v>2132</v>
      </c>
      <c r="H186" t="str">
        <f t="shared" si="11"/>
        <v>ML6421A3013</v>
      </c>
      <c r="M186" t="s">
        <v>1175</v>
      </c>
      <c r="N186">
        <v>17</v>
      </c>
      <c r="O186" t="s">
        <v>5</v>
      </c>
      <c r="P186">
        <v>48149</v>
      </c>
      <c r="Q186">
        <v>818533</v>
      </c>
    </row>
    <row r="187" spans="1:17" x14ac:dyDescent="0.35">
      <c r="A187" t="s">
        <v>1183</v>
      </c>
      <c r="B187" t="str">
        <f t="shared" si="8"/>
        <v>MANUAL ASPIRATOR PUMP FOR</v>
      </c>
      <c r="C187" t="str">
        <f t="shared" si="9"/>
        <v xml:space="preserve"> 121679-L3</v>
      </c>
      <c r="D187" t="str">
        <f t="shared" si="10"/>
        <v>45</v>
      </c>
      <c r="E187" t="s">
        <v>1743</v>
      </c>
      <c r="F187" t="s">
        <v>2170</v>
      </c>
      <c r="G187" t="s">
        <v>2171</v>
      </c>
      <c r="H187" t="str">
        <f t="shared" si="11"/>
        <v>121679-L3</v>
      </c>
      <c r="M187" t="s">
        <v>1184</v>
      </c>
      <c r="N187">
        <v>45</v>
      </c>
      <c r="O187" t="s">
        <v>5</v>
      </c>
      <c r="P187">
        <v>17168.641025641031</v>
      </c>
      <c r="Q187">
        <v>772588.84615384624</v>
      </c>
    </row>
    <row r="188" spans="1:17" x14ac:dyDescent="0.35">
      <c r="A188" t="s">
        <v>1185</v>
      </c>
      <c r="B188" t="str">
        <f t="shared" si="8"/>
        <v>ELECTRIC LINEAR VALVE ACTUATOR</v>
      </c>
      <c r="C188" t="str">
        <f t="shared" si="9"/>
        <v xml:space="preserve"> ML6420A3072</v>
      </c>
      <c r="D188" t="str">
        <f t="shared" si="10"/>
        <v>7</v>
      </c>
      <c r="E188" t="s">
        <v>1744</v>
      </c>
      <c r="F188" t="s">
        <v>2172</v>
      </c>
      <c r="G188" t="s">
        <v>2065</v>
      </c>
      <c r="H188" t="str">
        <f t="shared" si="11"/>
        <v>ML6420A3072</v>
      </c>
      <c r="M188" t="s">
        <v>1186</v>
      </c>
      <c r="N188">
        <v>7</v>
      </c>
      <c r="O188" t="s">
        <v>5</v>
      </c>
      <c r="P188">
        <v>105996.6</v>
      </c>
      <c r="Q188">
        <v>741976.20000000007</v>
      </c>
    </row>
    <row r="189" spans="1:17" x14ac:dyDescent="0.35">
      <c r="A189" t="s">
        <v>1187</v>
      </c>
      <c r="B189" t="str">
        <f t="shared" si="8"/>
        <v>NXL HVAC INVERTER: 15KW/400V/31A/IP54</v>
      </c>
      <c r="C189" t="str">
        <f t="shared" si="9"/>
        <v xml:space="preserve"> HVAC31C5</v>
      </c>
      <c r="D189" t="str">
        <f t="shared" si="10"/>
        <v>2</v>
      </c>
      <c r="E189" t="s">
        <v>1745</v>
      </c>
      <c r="F189" t="s">
        <v>2173</v>
      </c>
      <c r="G189" t="s">
        <v>1990</v>
      </c>
      <c r="H189" t="str">
        <f t="shared" si="11"/>
        <v>HVAC31C5</v>
      </c>
      <c r="M189" t="s">
        <v>1188</v>
      </c>
      <c r="N189">
        <v>2</v>
      </c>
      <c r="O189" t="s">
        <v>5</v>
      </c>
      <c r="P189">
        <v>330186.66666666669</v>
      </c>
      <c r="Q189">
        <v>660373.33333333337</v>
      </c>
    </row>
    <row r="190" spans="1:17" x14ac:dyDescent="0.35">
      <c r="A190" t="s">
        <v>1189</v>
      </c>
      <c r="B190" t="str">
        <f t="shared" si="8"/>
        <v>COMB GAS VALVE 3/4 220/240V</v>
      </c>
      <c r="C190" t="str">
        <f t="shared" si="9"/>
        <v xml:space="preserve"> VR420AB1002-0000</v>
      </c>
      <c r="D190" t="str">
        <f t="shared" si="10"/>
        <v>6</v>
      </c>
      <c r="E190" t="s">
        <v>1746</v>
      </c>
      <c r="F190" t="s">
        <v>2174</v>
      </c>
      <c r="G190" t="s">
        <v>1955</v>
      </c>
      <c r="H190" t="str">
        <f t="shared" si="11"/>
        <v>VR420AB1002-0000</v>
      </c>
      <c r="M190" t="s">
        <v>1190</v>
      </c>
      <c r="N190">
        <v>6</v>
      </c>
      <c r="O190" t="s">
        <v>2</v>
      </c>
      <c r="P190">
        <v>109988</v>
      </c>
      <c r="Q190">
        <v>659928</v>
      </c>
    </row>
    <row r="191" spans="1:17" x14ac:dyDescent="0.35">
      <c r="A191" t="s">
        <v>1191</v>
      </c>
      <c r="B191" t="str">
        <f t="shared" si="8"/>
        <v>3-WAY VALVE PN6 DN40 KVS25</v>
      </c>
      <c r="C191" t="str">
        <f t="shared" si="9"/>
        <v xml:space="preserve"> V5329C1059</v>
      </c>
      <c r="D191" t="str">
        <f t="shared" si="10"/>
        <v>15</v>
      </c>
      <c r="E191" t="s">
        <v>1747</v>
      </c>
      <c r="F191" t="s">
        <v>2175</v>
      </c>
      <c r="G191" t="s">
        <v>1975</v>
      </c>
      <c r="H191" t="str">
        <f t="shared" si="11"/>
        <v>V5329C1059</v>
      </c>
      <c r="M191" t="s">
        <v>1192</v>
      </c>
      <c r="N191">
        <v>15</v>
      </c>
      <c r="O191" t="s">
        <v>5</v>
      </c>
      <c r="P191">
        <v>43659.904761904763</v>
      </c>
      <c r="Q191">
        <v>654898.57142857148</v>
      </c>
    </row>
    <row r="192" spans="1:17" x14ac:dyDescent="0.35">
      <c r="A192" t="s">
        <v>1193</v>
      </c>
      <c r="B192" t="str">
        <f t="shared" si="8"/>
        <v>DIGITAL OUTPUT MODUL</v>
      </c>
      <c r="C192" t="str">
        <f t="shared" si="9"/>
        <v xml:space="preserve"> PCD2.A200</v>
      </c>
      <c r="D192" t="str">
        <f t="shared" si="10"/>
        <v>5</v>
      </c>
      <c r="E192" t="s">
        <v>1748</v>
      </c>
      <c r="F192" t="s">
        <v>2176</v>
      </c>
      <c r="G192" t="s">
        <v>1967</v>
      </c>
      <c r="H192" t="str">
        <f t="shared" si="11"/>
        <v>PCD2.A200</v>
      </c>
      <c r="M192" t="s">
        <v>1194</v>
      </c>
      <c r="N192">
        <v>5</v>
      </c>
      <c r="O192" t="s">
        <v>2</v>
      </c>
      <c r="P192">
        <v>127600</v>
      </c>
      <c r="Q192">
        <v>638000</v>
      </c>
    </row>
    <row r="193" spans="1:17" x14ac:dyDescent="0.35">
      <c r="A193" t="s">
        <v>1195</v>
      </c>
      <c r="B193" t="str">
        <f t="shared" si="8"/>
        <v>COMB GAS VALVE 230V</v>
      </c>
      <c r="C193" t="str">
        <f t="shared" si="9"/>
        <v xml:space="preserve"> VR420VA1004-0000</v>
      </c>
      <c r="D193" t="str">
        <f t="shared" si="10"/>
        <v>5</v>
      </c>
      <c r="E193" t="s">
        <v>1736</v>
      </c>
      <c r="F193" t="s">
        <v>2160</v>
      </c>
      <c r="G193" t="s">
        <v>1967</v>
      </c>
      <c r="H193" t="str">
        <f t="shared" si="11"/>
        <v>VR420VA1004-0000</v>
      </c>
      <c r="M193" t="s">
        <v>1168</v>
      </c>
      <c r="N193">
        <v>5</v>
      </c>
      <c r="O193" t="s">
        <v>2</v>
      </c>
      <c r="P193">
        <v>115744.6086956522</v>
      </c>
      <c r="Q193">
        <v>578723.04347826086</v>
      </c>
    </row>
    <row r="194" spans="1:17" x14ac:dyDescent="0.35">
      <c r="A194" t="s">
        <v>1196</v>
      </c>
      <c r="B194" t="str">
        <f t="shared" si="8"/>
        <v>MANUAL ASPIRATOR PUMP FOR</v>
      </c>
      <c r="C194" t="str">
        <f t="shared" si="9"/>
        <v xml:space="preserve"> 121679-L3</v>
      </c>
      <c r="D194" t="str">
        <f t="shared" si="10"/>
        <v>33</v>
      </c>
      <c r="E194" t="s">
        <v>1743</v>
      </c>
      <c r="F194" t="s">
        <v>2170</v>
      </c>
      <c r="G194" t="s">
        <v>2177</v>
      </c>
      <c r="H194" t="str">
        <f t="shared" si="11"/>
        <v>121679-L3</v>
      </c>
      <c r="M194" t="s">
        <v>1184</v>
      </c>
      <c r="N194">
        <v>33</v>
      </c>
      <c r="O194" t="s">
        <v>5</v>
      </c>
      <c r="P194">
        <v>17168.641025641031</v>
      </c>
      <c r="Q194">
        <v>566565.15384615387</v>
      </c>
    </row>
    <row r="195" spans="1:17" x14ac:dyDescent="0.35">
      <c r="A195" t="s">
        <v>1197</v>
      </c>
      <c r="B195" t="str">
        <f t="shared" ref="B195:B258" si="12">LEFT(A195,FIND("модель/артикул",A195)-3)</f>
        <v>Ball-and-socket joint for wall mounting</v>
      </c>
      <c r="C195" t="str">
        <f t="shared" ref="C195:C258" si="13">MID(A195,FIND("модель/артикул",A195)+14,FIND("кол-во",A195)-FIND("модель/артикул",A195)-16)</f>
        <v xml:space="preserve"> 033588.17</v>
      </c>
      <c r="D195" t="str">
        <f t="shared" ref="D195:D258" si="14">MID(A195,FIND("кол-во",A195)+7,LEN(A195))</f>
        <v>175</v>
      </c>
      <c r="E195" t="s">
        <v>1749</v>
      </c>
      <c r="F195" t="s">
        <v>2178</v>
      </c>
      <c r="G195" t="s">
        <v>2179</v>
      </c>
      <c r="H195" t="str">
        <f t="shared" ref="H195:H258" si="15">TRIM(F195)</f>
        <v>033588.17</v>
      </c>
      <c r="M195" t="s">
        <v>1198</v>
      </c>
      <c r="N195">
        <v>175</v>
      </c>
      <c r="O195" t="s">
        <v>5</v>
      </c>
      <c r="P195">
        <v>3025.8171428571432</v>
      </c>
      <c r="Q195">
        <v>529518</v>
      </c>
    </row>
    <row r="196" spans="1:17" x14ac:dyDescent="0.35">
      <c r="A196" t="s">
        <v>1199</v>
      </c>
      <c r="B196" t="str">
        <f t="shared" si="12"/>
        <v>Exting. control panel 8010, RU,</v>
      </c>
      <c r="C196" t="str">
        <f t="shared" si="13"/>
        <v xml:space="preserve"> 788013.40.RU</v>
      </c>
      <c r="D196" t="str">
        <f t="shared" si="14"/>
        <v>3</v>
      </c>
      <c r="E196" t="s">
        <v>2180</v>
      </c>
      <c r="F196" t="s">
        <v>2181</v>
      </c>
      <c r="G196" t="s">
        <v>2026</v>
      </c>
      <c r="H196" t="str">
        <f t="shared" si="15"/>
        <v>788013.40.RU</v>
      </c>
      <c r="M196" t="s">
        <v>1200</v>
      </c>
      <c r="N196">
        <v>3</v>
      </c>
      <c r="O196" t="s">
        <v>2</v>
      </c>
      <c r="P196">
        <v>169951</v>
      </c>
      <c r="Q196">
        <v>509853</v>
      </c>
    </row>
    <row r="197" spans="1:17" x14ac:dyDescent="0.35">
      <c r="A197" t="s">
        <v>1201</v>
      </c>
      <c r="B197" t="str">
        <f t="shared" si="12"/>
        <v>10 W Cabinet loudspeaker</v>
      </c>
      <c r="C197" t="str">
        <f t="shared" si="13"/>
        <v xml:space="preserve"> 581276</v>
      </c>
      <c r="D197" t="str">
        <f t="shared" si="14"/>
        <v>39</v>
      </c>
      <c r="E197" t="s">
        <v>1750</v>
      </c>
      <c r="F197" t="s">
        <v>2182</v>
      </c>
      <c r="G197" t="s">
        <v>2183</v>
      </c>
      <c r="H197" t="str">
        <f t="shared" si="15"/>
        <v>581276</v>
      </c>
      <c r="M197" t="s">
        <v>391</v>
      </c>
      <c r="N197">
        <v>39</v>
      </c>
      <c r="O197" t="s">
        <v>5</v>
      </c>
      <c r="P197">
        <v>12745.041304347829</v>
      </c>
      <c r="Q197">
        <v>497056.61086956522</v>
      </c>
    </row>
    <row r="198" spans="1:17" x14ac:dyDescent="0.35">
      <c r="A198" t="s">
        <v>1202</v>
      </c>
      <c r="B198" t="str">
        <f t="shared" si="12"/>
        <v>ELECTRONICAL PRESSURE TRANSMITTER</v>
      </c>
      <c r="C198" t="str">
        <f t="shared" si="13"/>
        <v xml:space="preserve"> PTSRB0101V3</v>
      </c>
      <c r="D198" t="str">
        <f t="shared" si="14"/>
        <v>7</v>
      </c>
      <c r="E198" t="s">
        <v>1751</v>
      </c>
      <c r="F198" t="s">
        <v>2184</v>
      </c>
      <c r="G198" t="s">
        <v>2065</v>
      </c>
      <c r="H198" t="str">
        <f t="shared" si="15"/>
        <v>PTSRB0101V3</v>
      </c>
      <c r="M198" t="s">
        <v>1203</v>
      </c>
      <c r="N198">
        <v>7</v>
      </c>
      <c r="O198" t="s">
        <v>5</v>
      </c>
      <c r="P198">
        <v>70871.3</v>
      </c>
      <c r="Q198">
        <v>496099.1</v>
      </c>
    </row>
    <row r="199" spans="1:17" x14ac:dyDescent="0.35">
      <c r="A199" t="s">
        <v>1204</v>
      </c>
      <c r="B199" t="str">
        <f t="shared" si="12"/>
        <v>Корпус настенной установки ANALOGUE I/FACE DET MODULE S/FACE BOX</v>
      </c>
      <c r="C199" t="str">
        <f t="shared" si="13"/>
        <v xml:space="preserve"> M200E-SMB</v>
      </c>
      <c r="D199" t="str">
        <f t="shared" si="14"/>
        <v>600</v>
      </c>
      <c r="E199" t="s">
        <v>1752</v>
      </c>
      <c r="F199" t="s">
        <v>2185</v>
      </c>
      <c r="G199" t="s">
        <v>2186</v>
      </c>
      <c r="H199" t="str">
        <f t="shared" si="15"/>
        <v>M200E-SMB</v>
      </c>
      <c r="M199" t="s">
        <v>276</v>
      </c>
      <c r="N199">
        <v>600</v>
      </c>
      <c r="O199" t="s">
        <v>2</v>
      </c>
      <c r="P199">
        <v>792.68390039916369</v>
      </c>
      <c r="Q199">
        <v>475610.34023949818</v>
      </c>
    </row>
    <row r="200" spans="1:17" x14ac:dyDescent="0.35">
      <c r="A200" t="s">
        <v>1205</v>
      </c>
      <c r="B200" t="str">
        <f t="shared" si="12"/>
        <v>2-WAY VALVE PN16 DN40 KVS25</v>
      </c>
      <c r="C200" t="str">
        <f t="shared" si="13"/>
        <v xml:space="preserve"> V5328A1088</v>
      </c>
      <c r="D200" t="str">
        <f t="shared" si="14"/>
        <v>11</v>
      </c>
      <c r="E200" t="s">
        <v>1753</v>
      </c>
      <c r="F200" t="s">
        <v>2187</v>
      </c>
      <c r="G200" t="s">
        <v>1972</v>
      </c>
      <c r="H200" t="str">
        <f t="shared" si="15"/>
        <v>V5328A1088</v>
      </c>
      <c r="M200" t="s">
        <v>1206</v>
      </c>
      <c r="N200">
        <v>11</v>
      </c>
      <c r="O200" t="s">
        <v>5</v>
      </c>
      <c r="P200">
        <v>43206.6875</v>
      </c>
      <c r="Q200">
        <v>475273.5625</v>
      </c>
    </row>
    <row r="201" spans="1:17" x14ac:dyDescent="0.35">
      <c r="A201" t="s">
        <v>1207</v>
      </c>
      <c r="B201" t="str">
        <f t="shared" si="12"/>
        <v>DIGITAL WALL MODULE, BLUE/WHITE, C</v>
      </c>
      <c r="C201" t="str">
        <f t="shared" si="13"/>
        <v xml:space="preserve"> T7560A1000</v>
      </c>
      <c r="D201" t="str">
        <f t="shared" si="14"/>
        <v>35</v>
      </c>
      <c r="E201" t="s">
        <v>2188</v>
      </c>
      <c r="F201" t="s">
        <v>2189</v>
      </c>
      <c r="G201" t="s">
        <v>2190</v>
      </c>
      <c r="H201" t="str">
        <f t="shared" si="15"/>
        <v>T7560A1000</v>
      </c>
      <c r="M201" t="s">
        <v>1208</v>
      </c>
      <c r="N201">
        <v>35</v>
      </c>
      <c r="O201" t="s">
        <v>5</v>
      </c>
      <c r="P201">
        <v>12996.82857142857</v>
      </c>
      <c r="Q201">
        <v>454889</v>
      </c>
    </row>
    <row r="202" spans="1:17" x14ac:dyDescent="0.35">
      <c r="A202" t="s">
        <v>1209</v>
      </c>
      <c r="B202" t="str">
        <f t="shared" si="12"/>
        <v>NXL HVAC INVERTER: 22KW/400V/46A/IP54</v>
      </c>
      <c r="C202" t="str">
        <f t="shared" si="13"/>
        <v xml:space="preserve"> HVAC46C5</v>
      </c>
      <c r="D202" t="str">
        <f t="shared" si="14"/>
        <v>1</v>
      </c>
      <c r="E202" t="s">
        <v>1754</v>
      </c>
      <c r="F202" t="s">
        <v>2191</v>
      </c>
      <c r="G202" t="s">
        <v>1996</v>
      </c>
      <c r="H202" t="str">
        <f t="shared" si="15"/>
        <v>HVAC46C5</v>
      </c>
      <c r="M202" t="s">
        <v>1210</v>
      </c>
      <c r="N202">
        <v>1</v>
      </c>
      <c r="O202" t="s">
        <v>5</v>
      </c>
      <c r="P202">
        <v>448615</v>
      </c>
      <c r="Q202">
        <v>448615</v>
      </c>
    </row>
    <row r="203" spans="1:17" x14ac:dyDescent="0.35">
      <c r="A203" t="s">
        <v>1211</v>
      </c>
      <c r="B203" t="str">
        <f t="shared" si="12"/>
        <v>STRAP-ON SENSOR PT1000, IP54</v>
      </c>
      <c r="C203" t="str">
        <f t="shared" si="13"/>
        <v xml:space="preserve"> SF00-B54</v>
      </c>
      <c r="D203" t="str">
        <f t="shared" si="14"/>
        <v>50</v>
      </c>
      <c r="E203" t="s">
        <v>2192</v>
      </c>
      <c r="F203" t="s">
        <v>2193</v>
      </c>
      <c r="G203" t="s">
        <v>2060</v>
      </c>
      <c r="H203" t="str">
        <f t="shared" si="15"/>
        <v>SF00-B54</v>
      </c>
      <c r="M203" t="s">
        <v>1212</v>
      </c>
      <c r="N203">
        <v>50</v>
      </c>
      <c r="O203" t="s">
        <v>5</v>
      </c>
      <c r="P203">
        <v>8575.8390804597693</v>
      </c>
      <c r="Q203">
        <v>428791.95402298839</v>
      </c>
    </row>
    <row r="204" spans="1:17" x14ac:dyDescent="0.35">
      <c r="A204" t="s">
        <v>1213</v>
      </c>
      <c r="B204" t="str">
        <f t="shared" si="12"/>
        <v>3-WAY VALVE PN6 DN100 KVS140</v>
      </c>
      <c r="C204" t="str">
        <f t="shared" si="13"/>
        <v xml:space="preserve"> V5015A1151</v>
      </c>
      <c r="D204" t="str">
        <f t="shared" si="14"/>
        <v>4</v>
      </c>
      <c r="E204" t="s">
        <v>1755</v>
      </c>
      <c r="F204" t="s">
        <v>2194</v>
      </c>
      <c r="G204" t="s">
        <v>2040</v>
      </c>
      <c r="H204" t="str">
        <f t="shared" si="15"/>
        <v>V5015A1151</v>
      </c>
      <c r="M204" t="s">
        <v>1214</v>
      </c>
      <c r="N204">
        <v>4</v>
      </c>
      <c r="O204" t="s">
        <v>2</v>
      </c>
      <c r="P204">
        <v>106598</v>
      </c>
      <c r="Q204">
        <v>426392</v>
      </c>
    </row>
    <row r="205" spans="1:17" x14ac:dyDescent="0.35">
      <c r="A205" t="s">
        <v>1215</v>
      </c>
      <c r="B205" t="str">
        <f t="shared" si="12"/>
        <v>EARMUFF LEIGHTNING L1N NECKBND</v>
      </c>
      <c r="C205" t="str">
        <f t="shared" si="13"/>
        <v xml:space="preserve"> 1011994</v>
      </c>
      <c r="D205" t="str">
        <f t="shared" si="14"/>
        <v>240</v>
      </c>
      <c r="E205" t="s">
        <v>1756</v>
      </c>
      <c r="F205" t="s">
        <v>2195</v>
      </c>
      <c r="G205" t="s">
        <v>2196</v>
      </c>
      <c r="H205" t="str">
        <f t="shared" si="15"/>
        <v>1011994</v>
      </c>
      <c r="M205" t="s">
        <v>1216</v>
      </c>
      <c r="N205">
        <v>240</v>
      </c>
      <c r="O205" t="s">
        <v>2</v>
      </c>
      <c r="P205">
        <v>1741.6344827586211</v>
      </c>
      <c r="Q205">
        <v>417992.27586206893</v>
      </c>
    </row>
    <row r="206" spans="1:17" x14ac:dyDescent="0.35">
      <c r="A206" t="s">
        <v>1217</v>
      </c>
      <c r="B206" t="str">
        <f t="shared" si="12"/>
        <v>CENTRIC BUTTERFLY VALVE DN200</v>
      </c>
      <c r="C206" t="str">
        <f t="shared" si="13"/>
        <v xml:space="preserve"> V5421B1090</v>
      </c>
      <c r="D206" t="str">
        <f t="shared" si="14"/>
        <v>6</v>
      </c>
      <c r="E206" t="s">
        <v>1757</v>
      </c>
      <c r="F206" t="s">
        <v>2197</v>
      </c>
      <c r="G206" t="s">
        <v>1955</v>
      </c>
      <c r="H206" t="str">
        <f t="shared" si="15"/>
        <v>V5421B1090</v>
      </c>
      <c r="M206" t="s">
        <v>1218</v>
      </c>
      <c r="N206">
        <v>6</v>
      </c>
      <c r="O206" t="s">
        <v>2</v>
      </c>
      <c r="P206">
        <v>66907.333333333328</v>
      </c>
      <c r="Q206">
        <v>401444</v>
      </c>
    </row>
    <row r="207" spans="1:17" x14ac:dyDescent="0.35">
      <c r="A207" t="s">
        <v>1219</v>
      </c>
      <c r="B207" t="str">
        <f t="shared" si="12"/>
        <v>3-WAY VALVE PN16 DN100 KVS160</v>
      </c>
      <c r="C207" t="str">
        <f t="shared" si="13"/>
        <v xml:space="preserve"> V5050A1090</v>
      </c>
      <c r="D207" t="str">
        <f t="shared" si="14"/>
        <v>2</v>
      </c>
      <c r="E207" t="s">
        <v>1758</v>
      </c>
      <c r="F207" t="s">
        <v>2198</v>
      </c>
      <c r="G207" t="s">
        <v>1990</v>
      </c>
      <c r="H207" t="str">
        <f t="shared" si="15"/>
        <v>V5050A1090</v>
      </c>
      <c r="M207" t="s">
        <v>1220</v>
      </c>
      <c r="N207">
        <v>2</v>
      </c>
      <c r="O207" t="s">
        <v>2</v>
      </c>
      <c r="P207">
        <v>193916.91666666669</v>
      </c>
      <c r="Q207">
        <v>387833.83333333331</v>
      </c>
    </row>
    <row r="208" spans="1:17" x14ac:dyDescent="0.35">
      <c r="A208" t="s">
        <v>1221</v>
      </c>
      <c r="B208" t="str">
        <f t="shared" si="12"/>
        <v>MINI PEEPER TUBE</v>
      </c>
      <c r="C208" t="str">
        <f t="shared" si="13"/>
        <v xml:space="preserve"> 129464N/U</v>
      </c>
      <c r="D208" t="str">
        <f t="shared" si="14"/>
        <v>186</v>
      </c>
      <c r="E208" t="s">
        <v>1759</v>
      </c>
      <c r="F208" t="s">
        <v>2199</v>
      </c>
      <c r="G208" t="s">
        <v>2200</v>
      </c>
      <c r="H208" t="str">
        <f t="shared" si="15"/>
        <v>129464N/U</v>
      </c>
      <c r="M208" t="s">
        <v>1222</v>
      </c>
      <c r="N208">
        <v>186</v>
      </c>
      <c r="O208" t="s">
        <v>2</v>
      </c>
      <c r="P208">
        <v>1997.6021505376341</v>
      </c>
      <c r="Q208">
        <v>371554</v>
      </c>
    </row>
    <row r="209" spans="1:17" x14ac:dyDescent="0.35">
      <c r="A209" t="s">
        <v>1223</v>
      </c>
      <c r="B209" t="str">
        <f t="shared" si="12"/>
        <v>REDUCER 316 ST STL M25(M) TO M20(F)</v>
      </c>
      <c r="C209" t="str">
        <f t="shared" si="13"/>
        <v xml:space="preserve"> RDU300504</v>
      </c>
      <c r="D209" t="str">
        <f t="shared" si="14"/>
        <v>116</v>
      </c>
      <c r="E209" t="s">
        <v>1760</v>
      </c>
      <c r="F209" t="s">
        <v>2201</v>
      </c>
      <c r="G209" t="s">
        <v>2202</v>
      </c>
      <c r="H209" t="str">
        <f t="shared" si="15"/>
        <v>RDU300504</v>
      </c>
      <c r="M209" t="s">
        <v>1224</v>
      </c>
      <c r="N209">
        <v>116</v>
      </c>
      <c r="O209" t="s">
        <v>5</v>
      </c>
      <c r="P209">
        <v>3002.2471698113209</v>
      </c>
      <c r="Q209">
        <v>348260.6716981132</v>
      </c>
    </row>
    <row r="210" spans="1:17" x14ac:dyDescent="0.35">
      <c r="A210" t="s">
        <v>1225</v>
      </c>
      <c r="B210" t="str">
        <f t="shared" si="12"/>
        <v>DAMPER ACTUATOR 5NM 24V FLOATING</v>
      </c>
      <c r="C210" t="str">
        <f t="shared" si="13"/>
        <v xml:space="preserve"> N0524</v>
      </c>
      <c r="D210" t="str">
        <f t="shared" si="14"/>
        <v>16</v>
      </c>
      <c r="E210" t="s">
        <v>1761</v>
      </c>
      <c r="F210" t="s">
        <v>2203</v>
      </c>
      <c r="G210" t="s">
        <v>1992</v>
      </c>
      <c r="H210" t="str">
        <f t="shared" si="15"/>
        <v>N0524</v>
      </c>
      <c r="M210" t="s">
        <v>1226</v>
      </c>
      <c r="N210">
        <v>16</v>
      </c>
      <c r="O210" t="s">
        <v>2</v>
      </c>
      <c r="P210">
        <v>21031.6875</v>
      </c>
      <c r="Q210">
        <v>336507</v>
      </c>
    </row>
    <row r="211" spans="1:17" x14ac:dyDescent="0.35">
      <c r="A211" t="s">
        <v>1227</v>
      </c>
      <c r="B211" t="str">
        <f t="shared" si="12"/>
        <v>COMBI VALVE DN50 360MBAR IP54 230V PG11</v>
      </c>
      <c r="C211" t="str">
        <f t="shared" si="13"/>
        <v xml:space="preserve"> VQ450MB1006</v>
      </c>
      <c r="D211" t="str">
        <f t="shared" si="14"/>
        <v>5</v>
      </c>
      <c r="E211" t="s">
        <v>1762</v>
      </c>
      <c r="F211" t="s">
        <v>2204</v>
      </c>
      <c r="G211" t="s">
        <v>1967</v>
      </c>
      <c r="H211" t="str">
        <f t="shared" si="15"/>
        <v>VQ450MB1006</v>
      </c>
      <c r="M211" t="s">
        <v>1228</v>
      </c>
      <c r="N211">
        <v>5</v>
      </c>
      <c r="O211" t="s">
        <v>5</v>
      </c>
      <c r="P211">
        <v>64861.866666666669</v>
      </c>
      <c r="Q211">
        <v>324309.33333333337</v>
      </c>
    </row>
    <row r="212" spans="1:17" x14ac:dyDescent="0.35">
      <c r="A212" t="s">
        <v>1229</v>
      </c>
      <c r="B212" t="str">
        <f t="shared" si="12"/>
        <v>2-WAY VALVE PN16 DN15 KVS1,6</v>
      </c>
      <c r="C212" t="str">
        <f t="shared" si="13"/>
        <v xml:space="preserve"> V5328A1013</v>
      </c>
      <c r="D212" t="str">
        <f t="shared" si="14"/>
        <v>4</v>
      </c>
      <c r="E212" t="s">
        <v>2205</v>
      </c>
      <c r="F212" t="s">
        <v>2206</v>
      </c>
      <c r="G212" t="s">
        <v>2040</v>
      </c>
      <c r="H212" t="str">
        <f t="shared" si="15"/>
        <v>V5328A1013</v>
      </c>
      <c r="M212" t="s">
        <v>1230</v>
      </c>
      <c r="N212">
        <v>4</v>
      </c>
      <c r="O212" t="s">
        <v>5</v>
      </c>
      <c r="P212">
        <v>77177</v>
      </c>
      <c r="Q212">
        <v>308708</v>
      </c>
    </row>
    <row r="213" spans="1:17" x14ac:dyDescent="0.35">
      <c r="A213" t="s">
        <v>1231</v>
      </c>
      <c r="B213" t="str">
        <f t="shared" si="12"/>
        <v>3-WAY VALVE PN6 DN125 KVS220</v>
      </c>
      <c r="C213" t="str">
        <f t="shared" si="13"/>
        <v xml:space="preserve"> V5015A1169</v>
      </c>
      <c r="D213" t="str">
        <f t="shared" si="14"/>
        <v>2</v>
      </c>
      <c r="E213" t="s">
        <v>1764</v>
      </c>
      <c r="F213" t="s">
        <v>2207</v>
      </c>
      <c r="G213" t="s">
        <v>1990</v>
      </c>
      <c r="H213" t="str">
        <f t="shared" si="15"/>
        <v>V5015A1169</v>
      </c>
      <c r="M213" t="s">
        <v>1232</v>
      </c>
      <c r="N213">
        <v>2</v>
      </c>
      <c r="O213" t="s">
        <v>2</v>
      </c>
      <c r="P213">
        <v>146969</v>
      </c>
      <c r="Q213">
        <v>293938</v>
      </c>
    </row>
    <row r="214" spans="1:17" x14ac:dyDescent="0.35">
      <c r="A214" t="s">
        <v>1233</v>
      </c>
      <c r="B214" t="str">
        <f t="shared" si="12"/>
        <v>Digital Input Module</v>
      </c>
      <c r="C214" t="str">
        <f t="shared" si="13"/>
        <v xml:space="preserve"> TPPR-V-1030</v>
      </c>
      <c r="D214" t="str">
        <f t="shared" si="14"/>
        <v>2</v>
      </c>
      <c r="E214" t="s">
        <v>1741</v>
      </c>
      <c r="F214" t="s">
        <v>2208</v>
      </c>
      <c r="G214" t="s">
        <v>1990</v>
      </c>
      <c r="H214" t="str">
        <f t="shared" si="15"/>
        <v>TPPR-V-1030</v>
      </c>
      <c r="M214" t="s">
        <v>1234</v>
      </c>
      <c r="N214">
        <v>2</v>
      </c>
      <c r="O214" t="s">
        <v>2</v>
      </c>
      <c r="P214">
        <v>142340.5</v>
      </c>
      <c r="Q214">
        <v>284681</v>
      </c>
    </row>
    <row r="215" spans="1:17" x14ac:dyDescent="0.35">
      <c r="A215" t="s">
        <v>1235</v>
      </c>
      <c r="B215" t="str">
        <f t="shared" si="12"/>
        <v>Корпус настенной установки ANALOGUE I/FACE DET MODULE S/FACE BOX</v>
      </c>
      <c r="C215" t="str">
        <f t="shared" si="13"/>
        <v xml:space="preserve"> M200E-SMB</v>
      </c>
      <c r="D215" t="str">
        <f t="shared" si="14"/>
        <v>351</v>
      </c>
      <c r="E215" t="s">
        <v>1752</v>
      </c>
      <c r="F215" t="s">
        <v>2185</v>
      </c>
      <c r="G215" t="s">
        <v>2209</v>
      </c>
      <c r="H215" t="str">
        <f t="shared" si="15"/>
        <v>M200E-SMB</v>
      </c>
      <c r="M215" t="s">
        <v>276</v>
      </c>
      <c r="N215">
        <v>351</v>
      </c>
      <c r="O215" t="s">
        <v>2</v>
      </c>
      <c r="P215">
        <v>792.68390039916369</v>
      </c>
      <c r="Q215">
        <v>278232.04904010647</v>
      </c>
    </row>
    <row r="216" spans="1:17" x14ac:dyDescent="0.35">
      <c r="A216" t="s">
        <v>1236</v>
      </c>
      <c r="B216" t="str">
        <f t="shared" si="12"/>
        <v>NXL HVAC INVERTER: 11KW/400V/23A/IP54</v>
      </c>
      <c r="C216" t="str">
        <f t="shared" si="13"/>
        <v xml:space="preserve"> HVAC23C5</v>
      </c>
      <c r="D216" t="str">
        <f t="shared" si="14"/>
        <v>1</v>
      </c>
      <c r="E216" t="s">
        <v>1765</v>
      </c>
      <c r="F216" t="s">
        <v>2210</v>
      </c>
      <c r="G216" t="s">
        <v>1996</v>
      </c>
      <c r="H216" t="str">
        <f t="shared" si="15"/>
        <v>HVAC23C5</v>
      </c>
      <c r="M216" t="s">
        <v>1237</v>
      </c>
      <c r="N216">
        <v>1</v>
      </c>
      <c r="O216" t="s">
        <v>5</v>
      </c>
      <c r="P216">
        <v>265202</v>
      </c>
      <c r="Q216">
        <v>265202</v>
      </c>
    </row>
    <row r="217" spans="1:17" x14ac:dyDescent="0.35">
      <c r="A217" t="s">
        <v>1238</v>
      </c>
      <c r="B217" t="str">
        <f t="shared" si="12"/>
        <v>3-WAY VALVE PN6 DN40 KVS25</v>
      </c>
      <c r="C217" t="str">
        <f t="shared" si="13"/>
        <v xml:space="preserve"> V5329C1059</v>
      </c>
      <c r="D217" t="str">
        <f t="shared" si="14"/>
        <v>6</v>
      </c>
      <c r="E217" t="s">
        <v>1747</v>
      </c>
      <c r="F217" t="s">
        <v>2175</v>
      </c>
      <c r="G217" t="s">
        <v>1955</v>
      </c>
      <c r="H217" t="str">
        <f t="shared" si="15"/>
        <v>V5329C1059</v>
      </c>
      <c r="M217" t="s">
        <v>1192</v>
      </c>
      <c r="N217">
        <v>6</v>
      </c>
      <c r="O217" t="s">
        <v>5</v>
      </c>
      <c r="P217">
        <v>43659.904761904763</v>
      </c>
      <c r="Q217">
        <v>261959.42857142861</v>
      </c>
    </row>
    <row r="218" spans="1:17" x14ac:dyDescent="0.35">
      <c r="A218" t="s">
        <v>1239</v>
      </c>
      <c r="B218" t="str">
        <f t="shared" si="12"/>
        <v>3-WAY VALVE PN6 DN80 KVS100</v>
      </c>
      <c r="C218" t="str">
        <f t="shared" si="13"/>
        <v xml:space="preserve"> V5329C1083</v>
      </c>
      <c r="D218" t="str">
        <f t="shared" si="14"/>
        <v>4</v>
      </c>
      <c r="E218" t="s">
        <v>1766</v>
      </c>
      <c r="F218" t="s">
        <v>2211</v>
      </c>
      <c r="G218" t="s">
        <v>2040</v>
      </c>
      <c r="H218" t="str">
        <f t="shared" si="15"/>
        <v>V5329C1083</v>
      </c>
      <c r="M218" t="s">
        <v>1240</v>
      </c>
      <c r="N218">
        <v>4</v>
      </c>
      <c r="O218" t="s">
        <v>2</v>
      </c>
      <c r="P218">
        <v>65092.4</v>
      </c>
      <c r="Q218">
        <v>260369.6</v>
      </c>
    </row>
    <row r="219" spans="1:17" x14ac:dyDescent="0.35">
      <c r="A219" t="s">
        <v>1241</v>
      </c>
      <c r="B219" t="str">
        <f t="shared" si="12"/>
        <v>2-WAY VALVE PN16 DN80 KVS100</v>
      </c>
      <c r="C219" t="str">
        <f t="shared" si="13"/>
        <v xml:space="preserve"> V5016A1135</v>
      </c>
      <c r="D219" t="str">
        <f t="shared" si="14"/>
        <v>2</v>
      </c>
      <c r="E219" t="s">
        <v>1767</v>
      </c>
      <c r="F219" t="s">
        <v>2212</v>
      </c>
      <c r="G219" t="s">
        <v>1990</v>
      </c>
      <c r="H219" t="str">
        <f t="shared" si="15"/>
        <v>V5016A1135</v>
      </c>
      <c r="M219" t="s">
        <v>1242</v>
      </c>
      <c r="N219">
        <v>2</v>
      </c>
      <c r="O219" t="s">
        <v>5</v>
      </c>
      <c r="P219">
        <v>126215.5</v>
      </c>
      <c r="Q219">
        <v>252431</v>
      </c>
    </row>
    <row r="220" spans="1:17" x14ac:dyDescent="0.35">
      <c r="A220" t="s">
        <v>1243</v>
      </c>
      <c r="B220" t="str">
        <f t="shared" si="12"/>
        <v>Power supply 640мА SV/S30.640.5.1</v>
      </c>
      <c r="C220" t="str">
        <f t="shared" si="13"/>
        <v xml:space="preserve"> 2CDG110146R0011</v>
      </c>
      <c r="D220" t="str">
        <f t="shared" si="14"/>
        <v>3</v>
      </c>
      <c r="E220" t="s">
        <v>1768</v>
      </c>
      <c r="F220" t="s">
        <v>2213</v>
      </c>
      <c r="G220" t="s">
        <v>2026</v>
      </c>
      <c r="H220" t="str">
        <f t="shared" si="15"/>
        <v>2CDG110146R0011</v>
      </c>
      <c r="M220" t="s">
        <v>1244</v>
      </c>
      <c r="N220">
        <v>3</v>
      </c>
      <c r="O220" t="s">
        <v>5</v>
      </c>
      <c r="P220">
        <v>82115.333333333328</v>
      </c>
      <c r="Q220">
        <v>246346</v>
      </c>
    </row>
    <row r="221" spans="1:17" x14ac:dyDescent="0.35">
      <c r="A221" t="s">
        <v>1245</v>
      </c>
      <c r="B221" t="str">
        <f t="shared" si="12"/>
        <v>DOME IP M/PIXEL INT D/N 720P 3.3-12mm</v>
      </c>
      <c r="C221" t="str">
        <f t="shared" si="13"/>
        <v xml:space="preserve"> H3D1F1X</v>
      </c>
      <c r="D221" t="str">
        <f t="shared" si="14"/>
        <v>144</v>
      </c>
      <c r="E221" t="s">
        <v>1769</v>
      </c>
      <c r="F221" t="s">
        <v>2214</v>
      </c>
      <c r="G221" t="s">
        <v>2215</v>
      </c>
      <c r="H221" t="str">
        <f t="shared" si="15"/>
        <v>H3D1F1X</v>
      </c>
      <c r="M221" t="s">
        <v>1246</v>
      </c>
      <c r="N221">
        <v>144</v>
      </c>
      <c r="O221" t="s">
        <v>2</v>
      </c>
      <c r="P221">
        <v>1629.7567567567571</v>
      </c>
      <c r="Q221">
        <v>234684.97297297299</v>
      </c>
    </row>
    <row r="222" spans="1:17" x14ac:dyDescent="0.35">
      <c r="A222" t="s">
        <v>1247</v>
      </c>
      <c r="B222" t="str">
        <f t="shared" si="12"/>
        <v>3-WAY VALVE PN16 DN150 KVS360</v>
      </c>
      <c r="C222" t="str">
        <f t="shared" si="13"/>
        <v xml:space="preserve"> V5050A1116</v>
      </c>
      <c r="D222" t="str">
        <f t="shared" si="14"/>
        <v>2</v>
      </c>
      <c r="E222" t="s">
        <v>1770</v>
      </c>
      <c r="F222" t="s">
        <v>2216</v>
      </c>
      <c r="G222" t="s">
        <v>1990</v>
      </c>
      <c r="H222" t="str">
        <f t="shared" si="15"/>
        <v>V5050A1116</v>
      </c>
      <c r="M222" t="s">
        <v>1248</v>
      </c>
      <c r="N222">
        <v>2</v>
      </c>
      <c r="O222" t="s">
        <v>5</v>
      </c>
      <c r="P222">
        <v>110387</v>
      </c>
      <c r="Q222">
        <v>220774</v>
      </c>
    </row>
    <row r="223" spans="1:17" x14ac:dyDescent="0.35">
      <c r="A223" t="s">
        <v>1247</v>
      </c>
      <c r="B223" t="str">
        <f t="shared" si="12"/>
        <v>3-WAY VALVE PN16 DN150 KVS360</v>
      </c>
      <c r="C223" t="str">
        <f t="shared" si="13"/>
        <v xml:space="preserve"> V5050A1116</v>
      </c>
      <c r="D223" t="str">
        <f t="shared" si="14"/>
        <v>2</v>
      </c>
      <c r="E223" t="s">
        <v>1770</v>
      </c>
      <c r="F223" t="s">
        <v>2216</v>
      </c>
      <c r="G223" t="s">
        <v>1990</v>
      </c>
      <c r="H223" t="str">
        <f t="shared" si="15"/>
        <v>V5050A1116</v>
      </c>
      <c r="M223" t="s">
        <v>1248</v>
      </c>
      <c r="N223">
        <v>2</v>
      </c>
      <c r="O223" t="s">
        <v>5</v>
      </c>
      <c r="P223">
        <v>110387</v>
      </c>
      <c r="Q223">
        <v>220774</v>
      </c>
    </row>
    <row r="224" spans="1:17" x14ac:dyDescent="0.35">
      <c r="A224" t="s">
        <v>1249</v>
      </c>
      <c r="B224" t="str">
        <f t="shared" si="12"/>
        <v>WKS PC HP Z4 G4 RAID1 TOWER</v>
      </c>
      <c r="C224" t="str">
        <f t="shared" si="13"/>
        <v xml:space="preserve"> MZ-PCWS84</v>
      </c>
      <c r="D224" t="str">
        <f t="shared" si="14"/>
        <v>5</v>
      </c>
      <c r="E224" t="s">
        <v>1771</v>
      </c>
      <c r="F224" t="s">
        <v>2217</v>
      </c>
      <c r="G224" t="s">
        <v>1967</v>
      </c>
      <c r="H224" t="str">
        <f t="shared" si="15"/>
        <v>MZ-PCWS84</v>
      </c>
      <c r="M224" t="s">
        <v>1250</v>
      </c>
      <c r="N224">
        <v>5</v>
      </c>
      <c r="O224" t="s">
        <v>5</v>
      </c>
      <c r="P224">
        <v>43032</v>
      </c>
      <c r="Q224">
        <v>215160</v>
      </c>
    </row>
    <row r="225" spans="1:17" x14ac:dyDescent="0.35">
      <c r="A225" t="s">
        <v>1251</v>
      </c>
      <c r="B225" t="str">
        <f t="shared" si="12"/>
        <v>3-WAY VALVE PN6 DN80 KVS100</v>
      </c>
      <c r="C225" t="str">
        <f t="shared" si="13"/>
        <v xml:space="preserve"> V5329C1083</v>
      </c>
      <c r="D225" t="str">
        <f t="shared" si="14"/>
        <v>3</v>
      </c>
      <c r="E225" t="s">
        <v>1766</v>
      </c>
      <c r="F225" t="s">
        <v>2211</v>
      </c>
      <c r="G225" t="s">
        <v>2026</v>
      </c>
      <c r="H225" t="str">
        <f t="shared" si="15"/>
        <v>V5329C1083</v>
      </c>
      <c r="M225" t="s">
        <v>1240</v>
      </c>
      <c r="N225">
        <v>3</v>
      </c>
      <c r="O225" t="s">
        <v>2</v>
      </c>
      <c r="P225">
        <v>65092.4</v>
      </c>
      <c r="Q225">
        <v>195277.2</v>
      </c>
    </row>
    <row r="226" spans="1:17" x14ac:dyDescent="0.35">
      <c r="A226" t="s">
        <v>1252</v>
      </c>
      <c r="B226" t="str">
        <f t="shared" si="12"/>
        <v>3-WAY VALVE PN16 DN100 KVS160</v>
      </c>
      <c r="C226" t="str">
        <f t="shared" si="13"/>
        <v xml:space="preserve"> V5050A1090</v>
      </c>
      <c r="D226" t="str">
        <f t="shared" si="14"/>
        <v>1</v>
      </c>
      <c r="E226" t="s">
        <v>1758</v>
      </c>
      <c r="F226" t="s">
        <v>2198</v>
      </c>
      <c r="G226" t="s">
        <v>1996</v>
      </c>
      <c r="H226" t="str">
        <f t="shared" si="15"/>
        <v>V5050A1090</v>
      </c>
      <c r="M226" t="s">
        <v>1220</v>
      </c>
      <c r="N226">
        <v>1</v>
      </c>
      <c r="O226" t="s">
        <v>2</v>
      </c>
      <c r="P226">
        <v>193916.91666666669</v>
      </c>
      <c r="Q226">
        <v>193916.91666666669</v>
      </c>
    </row>
    <row r="227" spans="1:17" x14ac:dyDescent="0.35">
      <c r="A227" t="s">
        <v>1253</v>
      </c>
      <c r="B227" t="str">
        <f t="shared" si="12"/>
        <v>WALL MULTI-SENSOR, T-H-CO2-PM2.5-TVOC</v>
      </c>
      <c r="C227" t="str">
        <f t="shared" si="13"/>
        <v xml:space="preserve"> C7355A1050</v>
      </c>
      <c r="D227" t="str">
        <f t="shared" si="14"/>
        <v>1</v>
      </c>
      <c r="E227" t="s">
        <v>2218</v>
      </c>
      <c r="F227" t="s">
        <v>2219</v>
      </c>
      <c r="G227" t="s">
        <v>1996</v>
      </c>
      <c r="H227" t="str">
        <f t="shared" si="15"/>
        <v>C7355A1050</v>
      </c>
      <c r="M227" t="s">
        <v>1254</v>
      </c>
      <c r="N227">
        <v>1</v>
      </c>
      <c r="O227" t="s">
        <v>5</v>
      </c>
      <c r="P227">
        <v>182410</v>
      </c>
      <c r="Q227">
        <v>182410</v>
      </c>
    </row>
    <row r="228" spans="1:17" x14ac:dyDescent="0.35">
      <c r="A228" t="s">
        <v>1255</v>
      </c>
      <c r="B228" t="str">
        <f t="shared" si="12"/>
        <v>1000 DUAL NIC PCIe</v>
      </c>
      <c r="C228" t="str">
        <f t="shared" si="13"/>
        <v xml:space="preserve"> NE-NICS02</v>
      </c>
      <c r="D228" t="str">
        <f t="shared" si="14"/>
        <v>2</v>
      </c>
      <c r="E228" t="s">
        <v>1772</v>
      </c>
      <c r="F228" t="s">
        <v>2220</v>
      </c>
      <c r="G228" t="s">
        <v>1990</v>
      </c>
      <c r="H228" t="str">
        <f t="shared" si="15"/>
        <v>NE-NICS02</v>
      </c>
      <c r="M228" t="s">
        <v>1256</v>
      </c>
      <c r="N228">
        <v>2</v>
      </c>
      <c r="O228" t="s">
        <v>5</v>
      </c>
      <c r="P228">
        <v>87612.5</v>
      </c>
      <c r="Q228">
        <v>175225</v>
      </c>
    </row>
    <row r="229" spans="1:17" x14ac:dyDescent="0.35">
      <c r="A229" t="s">
        <v>1257</v>
      </c>
      <c r="B229" t="str">
        <f t="shared" si="12"/>
        <v>luminAXS mifareD readerRS485/c-d/W wo kb</v>
      </c>
      <c r="C229" t="str">
        <f t="shared" si="13"/>
        <v xml:space="preserve"> 027913.10</v>
      </c>
      <c r="D229" t="str">
        <f t="shared" si="14"/>
        <v>5</v>
      </c>
      <c r="E229" t="s">
        <v>1773</v>
      </c>
      <c r="F229" t="s">
        <v>2221</v>
      </c>
      <c r="G229" t="s">
        <v>1967</v>
      </c>
      <c r="H229" t="str">
        <f t="shared" si="15"/>
        <v>027913.10</v>
      </c>
      <c r="M229" t="s">
        <v>1258</v>
      </c>
      <c r="N229">
        <v>5</v>
      </c>
      <c r="O229" t="s">
        <v>5</v>
      </c>
      <c r="P229">
        <v>34276.714285714283</v>
      </c>
      <c r="Q229">
        <v>171383.57142857139</v>
      </c>
    </row>
    <row r="230" spans="1:17" x14ac:dyDescent="0.35">
      <c r="A230" t="s">
        <v>1259</v>
      </c>
      <c r="B230" t="str">
        <f t="shared" si="12"/>
        <v>D 20.672.222.702</v>
      </c>
      <c r="C230" t="str">
        <f t="shared" si="13"/>
        <v xml:space="preserve"> 187091</v>
      </c>
      <c r="D230" t="str">
        <f t="shared" si="14"/>
        <v>30</v>
      </c>
      <c r="E230" t="s">
        <v>1774</v>
      </c>
      <c r="F230" t="s">
        <v>2222</v>
      </c>
      <c r="G230" t="s">
        <v>2000</v>
      </c>
      <c r="H230" t="str">
        <f t="shared" si="15"/>
        <v>187091</v>
      </c>
      <c r="M230" t="s">
        <v>1260</v>
      </c>
      <c r="N230">
        <v>30</v>
      </c>
      <c r="O230" t="s">
        <v>2</v>
      </c>
      <c r="P230">
        <v>5581.9666666666662</v>
      </c>
      <c r="Q230">
        <v>167459</v>
      </c>
    </row>
    <row r="231" spans="1:17" x14ac:dyDescent="0.35">
      <c r="A231" t="s">
        <v>1261</v>
      </c>
      <c r="B231" t="str">
        <f t="shared" si="12"/>
        <v>D 20.672.201.022</v>
      </c>
      <c r="C231" t="str">
        <f t="shared" si="13"/>
        <v xml:space="preserve"> 185891</v>
      </c>
      <c r="D231" t="str">
        <f t="shared" si="14"/>
        <v>30</v>
      </c>
      <c r="E231" t="s">
        <v>1775</v>
      </c>
      <c r="F231" t="s">
        <v>2223</v>
      </c>
      <c r="G231" t="s">
        <v>2000</v>
      </c>
      <c r="H231" t="str">
        <f t="shared" si="15"/>
        <v>185891</v>
      </c>
      <c r="M231" t="s">
        <v>1262</v>
      </c>
      <c r="N231">
        <v>30</v>
      </c>
      <c r="O231" t="s">
        <v>2</v>
      </c>
      <c r="P231">
        <v>5525.2333333333336</v>
      </c>
      <c r="Q231">
        <v>165757</v>
      </c>
    </row>
    <row r="232" spans="1:17" x14ac:dyDescent="0.35">
      <c r="A232" t="s">
        <v>1263</v>
      </c>
      <c r="B232" t="str">
        <f t="shared" si="12"/>
        <v>PT1000 ROOM SENSOR</v>
      </c>
      <c r="C232" t="str">
        <f t="shared" si="13"/>
        <v xml:space="preserve"> T7460A1018</v>
      </c>
      <c r="D232" t="str">
        <f t="shared" si="14"/>
        <v>20</v>
      </c>
      <c r="E232" t="s">
        <v>1776</v>
      </c>
      <c r="F232" t="s">
        <v>2224</v>
      </c>
      <c r="G232" t="s">
        <v>2078</v>
      </c>
      <c r="H232" t="str">
        <f t="shared" si="15"/>
        <v>T7460A1018</v>
      </c>
      <c r="M232" t="s">
        <v>1264</v>
      </c>
      <c r="N232">
        <v>20</v>
      </c>
      <c r="O232" t="s">
        <v>2</v>
      </c>
      <c r="P232">
        <v>8086.28</v>
      </c>
      <c r="Q232">
        <v>161725.6</v>
      </c>
    </row>
    <row r="233" spans="1:17" x14ac:dyDescent="0.35">
      <c r="A233" t="s">
        <v>1265</v>
      </c>
      <c r="B233" t="str">
        <f t="shared" si="12"/>
        <v>DN125 MBV DI Body Disk Matl Epoxy coated</v>
      </c>
      <c r="C233" t="str">
        <f t="shared" si="13"/>
        <v xml:space="preserve"> BF-HWC4-PN16-0125</v>
      </c>
      <c r="D233" t="str">
        <f t="shared" si="14"/>
        <v>39</v>
      </c>
      <c r="E233" t="s">
        <v>1777</v>
      </c>
      <c r="F233" t="s">
        <v>2225</v>
      </c>
      <c r="G233" t="s">
        <v>2183</v>
      </c>
      <c r="H233" t="str">
        <f t="shared" si="15"/>
        <v>BF-HWC4-PN16-0125</v>
      </c>
      <c r="M233" t="s">
        <v>1266</v>
      </c>
      <c r="N233">
        <v>39</v>
      </c>
      <c r="O233" t="s">
        <v>5</v>
      </c>
      <c r="P233">
        <v>4131.6410256410254</v>
      </c>
      <c r="Q233">
        <v>161134</v>
      </c>
    </row>
    <row r="234" spans="1:17" x14ac:dyDescent="0.35">
      <c r="A234" t="s">
        <v>1267</v>
      </c>
      <c r="B234" t="str">
        <f t="shared" si="12"/>
        <v>DUCT SENSOR NTC20K, IP65, 300MM, 5M</v>
      </c>
      <c r="C234" t="str">
        <f t="shared" si="13"/>
        <v xml:space="preserve"> LF20-3P65-5M</v>
      </c>
      <c r="D234" t="str">
        <f t="shared" si="14"/>
        <v>8</v>
      </c>
      <c r="E234" t="s">
        <v>2226</v>
      </c>
      <c r="F234" t="s">
        <v>2227</v>
      </c>
      <c r="G234" t="s">
        <v>2084</v>
      </c>
      <c r="H234" t="str">
        <f t="shared" si="15"/>
        <v>LF20-3P65-5M</v>
      </c>
      <c r="M234" t="s">
        <v>1268</v>
      </c>
      <c r="N234">
        <v>8</v>
      </c>
      <c r="O234" t="s">
        <v>5</v>
      </c>
      <c r="P234">
        <v>19670.125</v>
      </c>
      <c r="Q234">
        <v>157361</v>
      </c>
    </row>
    <row r="235" spans="1:17" x14ac:dyDescent="0.35">
      <c r="A235" t="s">
        <v>1269</v>
      </c>
      <c r="B235" t="str">
        <f t="shared" si="12"/>
        <v>PD-C360i/8 KNX UP</v>
      </c>
      <c r="C235" t="str">
        <f t="shared" si="13"/>
        <v xml:space="preserve"> EP10427404</v>
      </c>
      <c r="D235" t="str">
        <f t="shared" si="14"/>
        <v>7</v>
      </c>
      <c r="E235" t="s">
        <v>1778</v>
      </c>
      <c r="F235" t="s">
        <v>2228</v>
      </c>
      <c r="G235" t="s">
        <v>2065</v>
      </c>
      <c r="H235" t="str">
        <f t="shared" si="15"/>
        <v>EP10427404</v>
      </c>
      <c r="M235" t="s">
        <v>1270</v>
      </c>
      <c r="N235">
        <v>7</v>
      </c>
      <c r="O235" t="s">
        <v>5</v>
      </c>
      <c r="P235">
        <v>22235.857142857141</v>
      </c>
      <c r="Q235">
        <v>155651</v>
      </c>
    </row>
    <row r="236" spans="1:17" x14ac:dyDescent="0.35">
      <c r="A236" t="s">
        <v>1271</v>
      </c>
      <c r="B236" t="str">
        <f t="shared" si="12"/>
        <v>DIGITAL WALL MODULE, WHITE/WHITE,RH, C</v>
      </c>
      <c r="C236" t="str">
        <f t="shared" si="13"/>
        <v xml:space="preserve"> T7560B1024</v>
      </c>
      <c r="D236" t="str">
        <f t="shared" si="14"/>
        <v>7</v>
      </c>
      <c r="E236" t="s">
        <v>2229</v>
      </c>
      <c r="F236" t="s">
        <v>2230</v>
      </c>
      <c r="G236" t="s">
        <v>2065</v>
      </c>
      <c r="H236" t="str">
        <f t="shared" si="15"/>
        <v>T7560B1024</v>
      </c>
      <c r="M236" t="s">
        <v>1272</v>
      </c>
      <c r="N236">
        <v>7</v>
      </c>
      <c r="O236" t="s">
        <v>5</v>
      </c>
      <c r="P236">
        <v>21939.28571428571</v>
      </c>
      <c r="Q236">
        <v>153575</v>
      </c>
    </row>
    <row r="237" spans="1:17" x14ac:dyDescent="0.35">
      <c r="A237" t="s">
        <v>1273</v>
      </c>
      <c r="B237" t="str">
        <f t="shared" si="12"/>
        <v>COMBI VALVE DN40 360MBAR IP54 230V PG11</v>
      </c>
      <c r="C237" t="str">
        <f t="shared" si="13"/>
        <v xml:space="preserve"> VQ440MB1005</v>
      </c>
      <c r="D237" t="str">
        <f t="shared" si="14"/>
        <v>5</v>
      </c>
      <c r="E237" t="s">
        <v>1779</v>
      </c>
      <c r="F237" t="s">
        <v>2231</v>
      </c>
      <c r="G237" t="s">
        <v>1967</v>
      </c>
      <c r="H237" t="str">
        <f t="shared" si="15"/>
        <v>VQ440MB1005</v>
      </c>
      <c r="M237" t="s">
        <v>1274</v>
      </c>
      <c r="N237">
        <v>5</v>
      </c>
      <c r="O237" t="s">
        <v>2</v>
      </c>
      <c r="P237">
        <v>30630.799999999999</v>
      </c>
      <c r="Q237">
        <v>153154</v>
      </c>
    </row>
    <row r="238" spans="1:17" x14ac:dyDescent="0.35">
      <c r="A238" t="s">
        <v>1275</v>
      </c>
      <c r="B238" t="str">
        <f t="shared" si="12"/>
        <v>PCD3 PROCESSOR UNIT</v>
      </c>
      <c r="C238" t="str">
        <f t="shared" si="13"/>
        <v xml:space="preserve"> PCD3.M3360</v>
      </c>
      <c r="D238" t="str">
        <f t="shared" si="14"/>
        <v>1</v>
      </c>
      <c r="E238" t="s">
        <v>1780</v>
      </c>
      <c r="F238" t="s">
        <v>2232</v>
      </c>
      <c r="G238" t="s">
        <v>1996</v>
      </c>
      <c r="H238" t="str">
        <f t="shared" si="15"/>
        <v>PCD3.M3360</v>
      </c>
      <c r="M238" t="s">
        <v>1276</v>
      </c>
      <c r="N238">
        <v>1</v>
      </c>
      <c r="O238" t="s">
        <v>2</v>
      </c>
      <c r="P238">
        <v>140268</v>
      </c>
      <c r="Q238">
        <v>140268</v>
      </c>
    </row>
    <row r="239" spans="1:17" x14ac:dyDescent="0.35">
      <c r="A239" t="s">
        <v>1277</v>
      </c>
      <c r="B239" t="str">
        <f t="shared" si="12"/>
        <v>D 20.6511.21</v>
      </c>
      <c r="C239" t="str">
        <f t="shared" si="13"/>
        <v xml:space="preserve"> 127411</v>
      </c>
      <c r="D239" t="str">
        <f t="shared" si="14"/>
        <v>150</v>
      </c>
      <c r="E239" t="s">
        <v>1781</v>
      </c>
      <c r="F239" t="s">
        <v>2233</v>
      </c>
      <c r="G239" t="s">
        <v>2054</v>
      </c>
      <c r="H239" t="str">
        <f t="shared" si="15"/>
        <v>127411</v>
      </c>
      <c r="M239" t="s">
        <v>1278</v>
      </c>
      <c r="N239">
        <v>150</v>
      </c>
      <c r="O239" t="s">
        <v>5</v>
      </c>
      <c r="P239">
        <v>919.26666666666665</v>
      </c>
      <c r="Q239">
        <v>137890</v>
      </c>
    </row>
    <row r="240" spans="1:17" x14ac:dyDescent="0.35">
      <c r="A240" t="s">
        <v>1279</v>
      </c>
      <c r="B240" t="str">
        <f t="shared" si="12"/>
        <v>D 20.671.201.022</v>
      </c>
      <c r="C240" t="str">
        <f t="shared" si="13"/>
        <v xml:space="preserve"> 183791</v>
      </c>
      <c r="D240" t="str">
        <f t="shared" si="14"/>
        <v>40</v>
      </c>
      <c r="E240" t="s">
        <v>1782</v>
      </c>
      <c r="F240" t="s">
        <v>2234</v>
      </c>
      <c r="G240" t="s">
        <v>2235</v>
      </c>
      <c r="H240" t="str">
        <f t="shared" si="15"/>
        <v>183791</v>
      </c>
      <c r="M240" t="s">
        <v>1280</v>
      </c>
      <c r="N240">
        <v>40</v>
      </c>
      <c r="O240" t="s">
        <v>2</v>
      </c>
      <c r="P240">
        <v>3348.8249999999998</v>
      </c>
      <c r="Q240">
        <v>133953</v>
      </c>
    </row>
    <row r="241" spans="1:17" x14ac:dyDescent="0.35">
      <c r="A241" t="s">
        <v>1281</v>
      </c>
      <c r="B241" t="str">
        <f t="shared" si="12"/>
        <v>4DG/2OP module BUS-2/BUS-1 s.m.</v>
      </c>
      <c r="C241" t="str">
        <f t="shared" si="13"/>
        <v xml:space="preserve"> 010130.10</v>
      </c>
      <c r="D241" t="str">
        <f t="shared" si="14"/>
        <v>10</v>
      </c>
      <c r="E241" t="s">
        <v>1783</v>
      </c>
      <c r="F241" t="s">
        <v>2236</v>
      </c>
      <c r="G241" t="s">
        <v>2050</v>
      </c>
      <c r="H241" t="str">
        <f t="shared" si="15"/>
        <v>010130.10</v>
      </c>
      <c r="M241" t="s">
        <v>1282</v>
      </c>
      <c r="N241">
        <v>10</v>
      </c>
      <c r="O241" t="s">
        <v>2</v>
      </c>
      <c r="P241">
        <v>13288.04109589041</v>
      </c>
      <c r="Q241">
        <v>132880.4109589041</v>
      </c>
    </row>
    <row r="242" spans="1:17" x14ac:dyDescent="0.35">
      <c r="A242" t="s">
        <v>1283</v>
      </c>
      <c r="B242" t="str">
        <f t="shared" si="12"/>
        <v>3-WAY VALVES PN16 DN50 KVS 40 FEMALE</v>
      </c>
      <c r="C242" t="str">
        <f t="shared" si="13"/>
        <v xml:space="preserve"> V5013R1099</v>
      </c>
      <c r="D242" t="str">
        <f t="shared" si="14"/>
        <v>5</v>
      </c>
      <c r="E242" t="s">
        <v>1784</v>
      </c>
      <c r="F242" t="s">
        <v>2237</v>
      </c>
      <c r="G242" t="s">
        <v>1967</v>
      </c>
      <c r="H242" t="str">
        <f t="shared" si="15"/>
        <v>V5013R1099</v>
      </c>
      <c r="M242" t="s">
        <v>1284</v>
      </c>
      <c r="N242">
        <v>5</v>
      </c>
      <c r="O242" t="s">
        <v>5</v>
      </c>
      <c r="P242">
        <v>26083.142857142859</v>
      </c>
      <c r="Q242">
        <v>130415.7142857143</v>
      </c>
    </row>
    <row r="243" spans="1:17" x14ac:dyDescent="0.35">
      <c r="A243" t="s">
        <v>1285</v>
      </c>
      <c r="B243" t="str">
        <f t="shared" si="12"/>
        <v>D 20.6511.70</v>
      </c>
      <c r="C243" t="str">
        <f t="shared" si="13"/>
        <v xml:space="preserve"> 155111</v>
      </c>
      <c r="D243" t="str">
        <f t="shared" si="14"/>
        <v>150</v>
      </c>
      <c r="E243" t="s">
        <v>1785</v>
      </c>
      <c r="F243" t="s">
        <v>2238</v>
      </c>
      <c r="G243" t="s">
        <v>2054</v>
      </c>
      <c r="H243" t="str">
        <f t="shared" si="15"/>
        <v>155111</v>
      </c>
      <c r="M243" t="s">
        <v>1286</v>
      </c>
      <c r="N243">
        <v>150</v>
      </c>
      <c r="O243" t="s">
        <v>2</v>
      </c>
      <c r="P243">
        <v>864.29333333333329</v>
      </c>
      <c r="Q243">
        <v>129644</v>
      </c>
    </row>
    <row r="244" spans="1:17" x14ac:dyDescent="0.35">
      <c r="A244" t="s">
        <v>1287</v>
      </c>
      <c r="B244" t="str">
        <f t="shared" si="12"/>
        <v>2-WAY VALVE PN16 DN40 KVS25</v>
      </c>
      <c r="C244" t="str">
        <f t="shared" si="13"/>
        <v xml:space="preserve"> V5328A1088</v>
      </c>
      <c r="D244" t="str">
        <f t="shared" si="14"/>
        <v>3</v>
      </c>
      <c r="E244" t="s">
        <v>1753</v>
      </c>
      <c r="F244" t="s">
        <v>2187</v>
      </c>
      <c r="G244" t="s">
        <v>2026</v>
      </c>
      <c r="H244" t="str">
        <f t="shared" si="15"/>
        <v>V5328A1088</v>
      </c>
      <c r="M244" t="s">
        <v>1206</v>
      </c>
      <c r="N244">
        <v>3</v>
      </c>
      <c r="O244" t="s">
        <v>5</v>
      </c>
      <c r="P244">
        <v>43206.6875</v>
      </c>
      <c r="Q244">
        <v>129620.0625</v>
      </c>
    </row>
    <row r="245" spans="1:17" x14ac:dyDescent="0.35">
      <c r="A245" t="s">
        <v>1288</v>
      </c>
      <c r="B245" t="str">
        <f t="shared" si="12"/>
        <v>Rod sensor, Pt1000, 300mm, IP65, no well</v>
      </c>
      <c r="C245" t="str">
        <f t="shared" si="13"/>
        <v xml:space="preserve"> VF00-3B65NW</v>
      </c>
      <c r="D245" t="str">
        <f t="shared" si="14"/>
        <v>6</v>
      </c>
      <c r="E245" t="s">
        <v>2239</v>
      </c>
      <c r="F245" t="s">
        <v>2240</v>
      </c>
      <c r="G245" t="s">
        <v>1955</v>
      </c>
      <c r="H245" t="str">
        <f t="shared" si="15"/>
        <v>VF00-3B65NW</v>
      </c>
      <c r="M245" t="s">
        <v>1289</v>
      </c>
      <c r="N245">
        <v>6</v>
      </c>
      <c r="O245" t="s">
        <v>5</v>
      </c>
      <c r="P245">
        <v>21104.357142857141</v>
      </c>
      <c r="Q245">
        <v>126626.1428571428</v>
      </c>
    </row>
    <row r="246" spans="1:17" x14ac:dyDescent="0.35">
      <c r="A246" t="s">
        <v>1290</v>
      </c>
      <c r="B246" t="str">
        <f t="shared" si="12"/>
        <v>2-WAY VALVE PN16 DN40 KVS25</v>
      </c>
      <c r="C246" t="str">
        <f t="shared" si="13"/>
        <v xml:space="preserve"> V5016A1101</v>
      </c>
      <c r="D246" t="str">
        <f t="shared" si="14"/>
        <v>2</v>
      </c>
      <c r="E246" t="s">
        <v>1753</v>
      </c>
      <c r="F246" t="s">
        <v>2241</v>
      </c>
      <c r="G246" t="s">
        <v>1990</v>
      </c>
      <c r="H246" t="str">
        <f t="shared" si="15"/>
        <v>V5016A1101</v>
      </c>
      <c r="M246" t="s">
        <v>1291</v>
      </c>
      <c r="N246">
        <v>2</v>
      </c>
      <c r="O246" t="s">
        <v>5</v>
      </c>
      <c r="P246">
        <v>63165</v>
      </c>
      <c r="Q246">
        <v>126330</v>
      </c>
    </row>
    <row r="247" spans="1:17" x14ac:dyDescent="0.35">
      <c r="A247" t="s">
        <v>1292</v>
      </c>
      <c r="B247" t="str">
        <f t="shared" si="12"/>
        <v>MODUTROL MOTOR (EUROPEAN)</v>
      </c>
      <c r="C247" t="str">
        <f t="shared" si="13"/>
        <v xml:space="preserve"> M7294Q1015/U</v>
      </c>
      <c r="D247" t="str">
        <f t="shared" si="14"/>
        <v>6</v>
      </c>
      <c r="E247" t="s">
        <v>1786</v>
      </c>
      <c r="F247" t="s">
        <v>2242</v>
      </c>
      <c r="G247" t="s">
        <v>1955</v>
      </c>
      <c r="H247" t="str">
        <f t="shared" si="15"/>
        <v>M7294Q1015/U</v>
      </c>
      <c r="M247" t="s">
        <v>1293</v>
      </c>
      <c r="N247">
        <v>6</v>
      </c>
      <c r="O247" t="s">
        <v>2</v>
      </c>
      <c r="P247">
        <v>20475.5</v>
      </c>
      <c r="Q247">
        <v>122853</v>
      </c>
    </row>
    <row r="248" spans="1:17" x14ac:dyDescent="0.35">
      <c r="A248" t="s">
        <v>1294</v>
      </c>
      <c r="B248" t="str">
        <f t="shared" si="12"/>
        <v>DAMPER ACTUATOR 10NM 24V 0 TO 10V</v>
      </c>
      <c r="C248" t="str">
        <f t="shared" si="13"/>
        <v xml:space="preserve"> N10010</v>
      </c>
      <c r="D248" t="str">
        <f t="shared" si="14"/>
        <v>2</v>
      </c>
      <c r="E248" t="s">
        <v>1787</v>
      </c>
      <c r="F248" t="s">
        <v>2243</v>
      </c>
      <c r="G248" t="s">
        <v>1990</v>
      </c>
      <c r="H248" t="str">
        <f t="shared" si="15"/>
        <v>N10010</v>
      </c>
      <c r="M248" t="s">
        <v>1295</v>
      </c>
      <c r="N248">
        <v>2</v>
      </c>
      <c r="O248" t="s">
        <v>5</v>
      </c>
      <c r="P248">
        <v>59961.142857142862</v>
      </c>
      <c r="Q248">
        <v>119922.2857142857</v>
      </c>
    </row>
    <row r="249" spans="1:17" x14ac:dyDescent="0.35">
      <c r="A249" t="s">
        <v>1296</v>
      </c>
      <c r="B249" t="str">
        <f t="shared" si="12"/>
        <v>ANALOG OUTPUT MODULE (LON)</v>
      </c>
      <c r="C249" t="str">
        <f t="shared" si="13"/>
        <v xml:space="preserve"> XFLR822A</v>
      </c>
      <c r="D249" t="str">
        <f t="shared" si="14"/>
        <v>3</v>
      </c>
      <c r="E249" t="s">
        <v>1788</v>
      </c>
      <c r="F249" t="s">
        <v>2244</v>
      </c>
      <c r="G249" t="s">
        <v>2026</v>
      </c>
      <c r="H249" t="str">
        <f t="shared" si="15"/>
        <v>XFLR822A</v>
      </c>
      <c r="M249" t="s">
        <v>320</v>
      </c>
      <c r="N249">
        <v>3</v>
      </c>
      <c r="O249" t="s">
        <v>5</v>
      </c>
      <c r="P249">
        <v>39715.333333333343</v>
      </c>
      <c r="Q249">
        <v>119146</v>
      </c>
    </row>
    <row r="250" spans="1:17" x14ac:dyDescent="0.35">
      <c r="A250" t="s">
        <v>1297</v>
      </c>
      <c r="B250" t="str">
        <f t="shared" si="12"/>
        <v>2.5 «HDD 600 GB SAS 10K</v>
      </c>
      <c r="C250" t="str">
        <f t="shared" si="13"/>
        <v xml:space="preserve"> 600GB-SAS2.5</v>
      </c>
      <c r="D250" t="str">
        <f t="shared" si="14"/>
        <v>4</v>
      </c>
      <c r="E250" t="s">
        <v>1789</v>
      </c>
      <c r="F250" t="s">
        <v>2245</v>
      </c>
      <c r="G250" t="s">
        <v>2040</v>
      </c>
      <c r="H250" t="str">
        <f t="shared" si="15"/>
        <v>600GB-SAS2.5</v>
      </c>
      <c r="M250" t="s">
        <v>1298</v>
      </c>
      <c r="N250">
        <v>4</v>
      </c>
      <c r="O250" t="s">
        <v>5</v>
      </c>
      <c r="P250">
        <v>27720</v>
      </c>
      <c r="Q250">
        <v>110880</v>
      </c>
    </row>
    <row r="251" spans="1:17" x14ac:dyDescent="0.35">
      <c r="A251" t="s">
        <v>1299</v>
      </c>
      <c r="B251" t="str">
        <f t="shared" si="12"/>
        <v>3-WAY VALVE PN16 DN150 KVS360</v>
      </c>
      <c r="C251" t="str">
        <f t="shared" si="13"/>
        <v xml:space="preserve"> V5050A1116</v>
      </c>
      <c r="D251" t="str">
        <f t="shared" si="14"/>
        <v>1</v>
      </c>
      <c r="E251" t="s">
        <v>1770</v>
      </c>
      <c r="F251" t="s">
        <v>2216</v>
      </c>
      <c r="G251" t="s">
        <v>1996</v>
      </c>
      <c r="H251" t="str">
        <f t="shared" si="15"/>
        <v>V5050A1116</v>
      </c>
      <c r="M251" t="s">
        <v>1248</v>
      </c>
      <c r="N251">
        <v>1</v>
      </c>
      <c r="O251" t="s">
        <v>5</v>
      </c>
      <c r="P251">
        <v>110387</v>
      </c>
      <c r="Q251">
        <v>110387</v>
      </c>
    </row>
    <row r="252" spans="1:17" x14ac:dyDescent="0.35">
      <c r="A252" t="s">
        <v>1300</v>
      </c>
      <c r="B252" t="str">
        <f t="shared" si="12"/>
        <v>Quick-Pack panel</v>
      </c>
      <c r="C252" t="str">
        <f t="shared" si="13"/>
        <v xml:space="preserve"> RIC-F-LCU24-01C</v>
      </c>
      <c r="D252" t="str">
        <f t="shared" si="14"/>
        <v>7</v>
      </c>
      <c r="E252" t="s">
        <v>1790</v>
      </c>
      <c r="F252" t="s">
        <v>2246</v>
      </c>
      <c r="G252" t="s">
        <v>2065</v>
      </c>
      <c r="H252" t="str">
        <f t="shared" si="15"/>
        <v>RIC-F-LCU24-01C</v>
      </c>
      <c r="M252" t="s">
        <v>1301</v>
      </c>
      <c r="N252">
        <v>7</v>
      </c>
      <c r="O252" t="s">
        <v>2</v>
      </c>
      <c r="P252">
        <v>15363.428571428571</v>
      </c>
      <c r="Q252">
        <v>107544</v>
      </c>
    </row>
    <row r="253" spans="1:17" x14ac:dyDescent="0.35">
      <c r="A253" t="s">
        <v>1302</v>
      </c>
      <c r="B253" t="str">
        <f t="shared" si="12"/>
        <v>3-WAY VALVE PN16 DN40 KVS25</v>
      </c>
      <c r="C253" t="str">
        <f t="shared" si="13"/>
        <v xml:space="preserve"> V5329A1053</v>
      </c>
      <c r="D253" t="str">
        <f t="shared" si="14"/>
        <v>2</v>
      </c>
      <c r="E253" t="s">
        <v>1791</v>
      </c>
      <c r="F253" t="s">
        <v>2247</v>
      </c>
      <c r="G253" t="s">
        <v>1990</v>
      </c>
      <c r="H253" t="str">
        <f t="shared" si="15"/>
        <v>V5329A1053</v>
      </c>
      <c r="M253" t="s">
        <v>1303</v>
      </c>
      <c r="N253">
        <v>2</v>
      </c>
      <c r="O253" t="s">
        <v>2</v>
      </c>
      <c r="P253">
        <v>53526</v>
      </c>
      <c r="Q253">
        <v>107052</v>
      </c>
    </row>
    <row r="254" spans="1:17" x14ac:dyDescent="0.35">
      <c r="A254" t="s">
        <v>1302</v>
      </c>
      <c r="B254" t="str">
        <f t="shared" si="12"/>
        <v>3-WAY VALVE PN16 DN40 KVS25</v>
      </c>
      <c r="C254" t="str">
        <f t="shared" si="13"/>
        <v xml:space="preserve"> V5329A1053</v>
      </c>
      <c r="D254" t="str">
        <f t="shared" si="14"/>
        <v>2</v>
      </c>
      <c r="E254" t="s">
        <v>1791</v>
      </c>
      <c r="F254" t="s">
        <v>2247</v>
      </c>
      <c r="G254" t="s">
        <v>1990</v>
      </c>
      <c r="H254" t="str">
        <f t="shared" si="15"/>
        <v>V5329A1053</v>
      </c>
      <c r="M254" t="s">
        <v>1303</v>
      </c>
      <c r="N254">
        <v>2</v>
      </c>
      <c r="O254" t="s">
        <v>2</v>
      </c>
      <c r="P254">
        <v>53526</v>
      </c>
      <c r="Q254">
        <v>107052</v>
      </c>
    </row>
    <row r="255" spans="1:17" x14ac:dyDescent="0.35">
      <c r="A255" t="s">
        <v>1304</v>
      </c>
      <c r="B255" t="str">
        <f t="shared" si="12"/>
        <v>3-WAY VALVE PN6 DN100 KVS140</v>
      </c>
      <c r="C255" t="str">
        <f t="shared" si="13"/>
        <v xml:space="preserve"> V5015A1151</v>
      </c>
      <c r="D255" t="str">
        <f t="shared" si="14"/>
        <v>1</v>
      </c>
      <c r="E255" t="s">
        <v>1755</v>
      </c>
      <c r="F255" t="s">
        <v>2194</v>
      </c>
      <c r="G255" t="s">
        <v>1996</v>
      </c>
      <c r="H255" t="str">
        <f t="shared" si="15"/>
        <v>V5015A1151</v>
      </c>
      <c r="M255" t="s">
        <v>1214</v>
      </c>
      <c r="N255">
        <v>1</v>
      </c>
      <c r="O255" t="s">
        <v>2</v>
      </c>
      <c r="P255">
        <v>106598</v>
      </c>
      <c r="Q255">
        <v>106598</v>
      </c>
    </row>
    <row r="256" spans="1:17" x14ac:dyDescent="0.35">
      <c r="A256" t="s">
        <v>1305</v>
      </c>
      <c r="B256" t="str">
        <f t="shared" si="12"/>
        <v>Chassis</v>
      </c>
      <c r="C256" t="str">
        <f t="shared" si="13"/>
        <v xml:space="preserve"> AT-MMCR18-60-RU</v>
      </c>
      <c r="D256" t="str">
        <f t="shared" si="14"/>
        <v>2</v>
      </c>
      <c r="E256" t="s">
        <v>1792</v>
      </c>
      <c r="F256" t="s">
        <v>2248</v>
      </c>
      <c r="G256" t="s">
        <v>1990</v>
      </c>
      <c r="H256" t="str">
        <f t="shared" si="15"/>
        <v>AT-MMCR18-60-RU</v>
      </c>
      <c r="M256" t="s">
        <v>1306</v>
      </c>
      <c r="N256">
        <v>2</v>
      </c>
      <c r="O256" t="s">
        <v>5</v>
      </c>
      <c r="P256">
        <v>52788.5</v>
      </c>
      <c r="Q256">
        <v>105577</v>
      </c>
    </row>
    <row r="257" spans="1:17" x14ac:dyDescent="0.35">
      <c r="A257" t="s">
        <v>1307</v>
      </c>
      <c r="B257" t="str">
        <f t="shared" si="12"/>
        <v>2-WAY VALVES PN16 DN15 KVS0.63</v>
      </c>
      <c r="C257" t="str">
        <f t="shared" si="13"/>
        <v xml:space="preserve"> V5011R1000</v>
      </c>
      <c r="D257" t="str">
        <f t="shared" si="14"/>
        <v>7</v>
      </c>
      <c r="E257" t="s">
        <v>1793</v>
      </c>
      <c r="F257" t="s">
        <v>2249</v>
      </c>
      <c r="G257" t="s">
        <v>2065</v>
      </c>
      <c r="H257" t="str">
        <f t="shared" si="15"/>
        <v>V5011R1000</v>
      </c>
      <c r="M257" t="s">
        <v>1308</v>
      </c>
      <c r="N257">
        <v>7</v>
      </c>
      <c r="O257" t="s">
        <v>2</v>
      </c>
      <c r="P257">
        <v>14969</v>
      </c>
      <c r="Q257">
        <v>104783</v>
      </c>
    </row>
    <row r="258" spans="1:17" x14ac:dyDescent="0.35">
      <c r="A258" t="s">
        <v>1309</v>
      </c>
      <c r="B258" t="str">
        <f t="shared" si="12"/>
        <v>6 RELAYS WITH OVERRIDE (LON)</v>
      </c>
      <c r="C258" t="str">
        <f t="shared" si="13"/>
        <v xml:space="preserve"> XFLR824A</v>
      </c>
      <c r="D258" t="str">
        <f t="shared" si="14"/>
        <v>5</v>
      </c>
      <c r="E258" t="s">
        <v>1794</v>
      </c>
      <c r="F258" t="s">
        <v>2250</v>
      </c>
      <c r="G258" t="s">
        <v>1967</v>
      </c>
      <c r="H258" t="str">
        <f t="shared" si="15"/>
        <v>XFLR824A</v>
      </c>
      <c r="M258" t="s">
        <v>427</v>
      </c>
      <c r="N258">
        <v>5</v>
      </c>
      <c r="O258" t="s">
        <v>5</v>
      </c>
      <c r="P258">
        <v>20908.8125</v>
      </c>
      <c r="Q258">
        <v>104544.0625</v>
      </c>
    </row>
    <row r="259" spans="1:17" x14ac:dyDescent="0.35">
      <c r="A259" t="s">
        <v>1310</v>
      </c>
      <c r="B259" t="str">
        <f t="shared" ref="B259:B322" si="16">LEFT(A259,FIND("модель/артикул",A259)-3)</f>
        <v>D 20.485.64 RADIO</v>
      </c>
      <c r="C259" t="str">
        <f t="shared" ref="C259:C322" si="17">MID(A259,FIND("модель/артикул",A259)+14,FIND("кол-во",A259)-FIND("модель/артикул",A259)-16)</f>
        <v xml:space="preserve"> 174813</v>
      </c>
      <c r="D259" t="str">
        <f t="shared" ref="D259:D322" si="18">MID(A259,FIND("кол-во",A259)+7,LEN(A259))</f>
        <v>4</v>
      </c>
      <c r="E259" t="s">
        <v>1795</v>
      </c>
      <c r="F259" t="s">
        <v>2251</v>
      </c>
      <c r="G259" t="s">
        <v>2040</v>
      </c>
      <c r="H259" t="str">
        <f t="shared" ref="H259:H322" si="19">TRIM(F259)</f>
        <v>174813</v>
      </c>
      <c r="M259" t="s">
        <v>1311</v>
      </c>
      <c r="N259">
        <v>4</v>
      </c>
      <c r="O259" t="s">
        <v>2</v>
      </c>
      <c r="P259">
        <v>25482</v>
      </c>
      <c r="Q259">
        <v>101928</v>
      </c>
    </row>
    <row r="260" spans="1:17" x14ac:dyDescent="0.35">
      <c r="A260" t="s">
        <v>1312</v>
      </c>
      <c r="B260" t="str">
        <f t="shared" si="16"/>
        <v>D 20.672.243.022</v>
      </c>
      <c r="C260" t="str">
        <f t="shared" si="17"/>
        <v xml:space="preserve"> 187591</v>
      </c>
      <c r="D260" t="str">
        <f t="shared" si="18"/>
        <v>30</v>
      </c>
      <c r="E260" t="s">
        <v>1796</v>
      </c>
      <c r="F260" t="s">
        <v>2252</v>
      </c>
      <c r="G260" t="s">
        <v>2000</v>
      </c>
      <c r="H260" t="str">
        <f t="shared" si="19"/>
        <v>187591</v>
      </c>
      <c r="M260" t="s">
        <v>1313</v>
      </c>
      <c r="N260">
        <v>30</v>
      </c>
      <c r="O260" t="s">
        <v>5</v>
      </c>
      <c r="P260">
        <v>3348.833333333333</v>
      </c>
      <c r="Q260">
        <v>100465</v>
      </c>
    </row>
    <row r="261" spans="1:17" x14ac:dyDescent="0.35">
      <c r="A261" t="s">
        <v>1314</v>
      </c>
      <c r="B261" t="str">
        <f t="shared" si="16"/>
        <v>1800N CORELLA 230V</v>
      </c>
      <c r="C261" t="str">
        <f t="shared" si="17"/>
        <v xml:space="preserve"> ML6421A3013</v>
      </c>
      <c r="D261" t="str">
        <f t="shared" si="18"/>
        <v>2</v>
      </c>
      <c r="E261" t="s">
        <v>1739</v>
      </c>
      <c r="F261" t="s">
        <v>2165</v>
      </c>
      <c r="G261" t="s">
        <v>1990</v>
      </c>
      <c r="H261" t="str">
        <f t="shared" si="19"/>
        <v>ML6421A3013</v>
      </c>
      <c r="M261" t="s">
        <v>1175</v>
      </c>
      <c r="N261">
        <v>2</v>
      </c>
      <c r="O261" t="s">
        <v>5</v>
      </c>
      <c r="P261">
        <v>48149</v>
      </c>
      <c r="Q261">
        <v>96298</v>
      </c>
    </row>
    <row r="262" spans="1:17" x14ac:dyDescent="0.35">
      <c r="A262" t="s">
        <v>1315</v>
      </c>
      <c r="B262" t="str">
        <f t="shared" si="16"/>
        <v>D 20.673.201.702</v>
      </c>
      <c r="C262" t="str">
        <f t="shared" si="17"/>
        <v xml:space="preserve"> 188091</v>
      </c>
      <c r="D262" t="str">
        <f t="shared" si="18"/>
        <v>10</v>
      </c>
      <c r="E262" t="s">
        <v>1797</v>
      </c>
      <c r="F262" t="s">
        <v>2253</v>
      </c>
      <c r="G262" t="s">
        <v>2050</v>
      </c>
      <c r="H262" t="str">
        <f t="shared" si="19"/>
        <v>188091</v>
      </c>
      <c r="M262" t="s">
        <v>1316</v>
      </c>
      <c r="N262">
        <v>10</v>
      </c>
      <c r="O262" t="s">
        <v>2</v>
      </c>
      <c r="P262">
        <v>9348.1</v>
      </c>
      <c r="Q262">
        <v>93481</v>
      </c>
    </row>
    <row r="263" spans="1:17" x14ac:dyDescent="0.35">
      <c r="A263" t="s">
        <v>1317</v>
      </c>
      <c r="B263" t="str">
        <f t="shared" si="16"/>
        <v>3.5 «HDD 600 GB SATA</v>
      </c>
      <c r="C263" t="str">
        <f t="shared" si="17"/>
        <v xml:space="preserve"> 600GB-SAS3.5</v>
      </c>
      <c r="D263" t="str">
        <f t="shared" si="18"/>
        <v>4</v>
      </c>
      <c r="E263" t="s">
        <v>1798</v>
      </c>
      <c r="F263" t="s">
        <v>2254</v>
      </c>
      <c r="G263" t="s">
        <v>2040</v>
      </c>
      <c r="H263" t="str">
        <f t="shared" si="19"/>
        <v>600GB-SAS3.5</v>
      </c>
      <c r="M263" t="s">
        <v>1318</v>
      </c>
      <c r="N263">
        <v>4</v>
      </c>
      <c r="O263" t="s">
        <v>5</v>
      </c>
      <c r="P263">
        <v>23256.75</v>
      </c>
      <c r="Q263">
        <v>93027</v>
      </c>
    </row>
    <row r="264" spans="1:17" x14ac:dyDescent="0.35">
      <c r="A264" t="s">
        <v>1319</v>
      </c>
      <c r="B264" t="str">
        <f t="shared" si="16"/>
        <v>D 20.673.223.192</v>
      </c>
      <c r="C264" t="str">
        <f t="shared" si="17"/>
        <v xml:space="preserve"> 189291</v>
      </c>
      <c r="D264" t="str">
        <f t="shared" si="18"/>
        <v>10</v>
      </c>
      <c r="E264" t="s">
        <v>1799</v>
      </c>
      <c r="F264" t="s">
        <v>2255</v>
      </c>
      <c r="G264" t="s">
        <v>2050</v>
      </c>
      <c r="H264" t="str">
        <f t="shared" si="19"/>
        <v>189291</v>
      </c>
      <c r="M264" t="s">
        <v>1320</v>
      </c>
      <c r="N264">
        <v>10</v>
      </c>
      <c r="O264" t="s">
        <v>5</v>
      </c>
      <c r="P264">
        <v>9291.2999999999993</v>
      </c>
      <c r="Q264">
        <v>92913</v>
      </c>
    </row>
    <row r="265" spans="1:17" x14ac:dyDescent="0.35">
      <c r="A265" t="s">
        <v>1321</v>
      </c>
      <c r="B265" t="str">
        <f t="shared" si="16"/>
        <v>2-WAY VALVE PN16 DN80 KVS100</v>
      </c>
      <c r="C265" t="str">
        <f t="shared" si="17"/>
        <v xml:space="preserve"> V5328A1112</v>
      </c>
      <c r="D265" t="str">
        <f t="shared" si="18"/>
        <v>1</v>
      </c>
      <c r="E265" t="s">
        <v>1767</v>
      </c>
      <c r="F265" t="s">
        <v>2256</v>
      </c>
      <c r="G265" t="s">
        <v>1996</v>
      </c>
      <c r="H265" t="str">
        <f t="shared" si="19"/>
        <v>V5328A1112</v>
      </c>
      <c r="M265" t="s">
        <v>1322</v>
      </c>
      <c r="N265">
        <v>1</v>
      </c>
      <c r="O265" t="s">
        <v>5</v>
      </c>
      <c r="P265">
        <v>92649</v>
      </c>
      <c r="Q265">
        <v>92649</v>
      </c>
    </row>
    <row r="266" spans="1:17" x14ac:dyDescent="0.35">
      <c r="A266" t="s">
        <v>1323</v>
      </c>
      <c r="B266" t="str">
        <f t="shared" si="16"/>
        <v>VALVE ACT.2POS./FLOAT.24V VAC</v>
      </c>
      <c r="C266" t="str">
        <f t="shared" si="17"/>
        <v xml:space="preserve"> ML6421A3005</v>
      </c>
      <c r="D266" t="str">
        <f t="shared" si="18"/>
        <v>5</v>
      </c>
      <c r="E266" t="s">
        <v>1800</v>
      </c>
      <c r="F266" t="s">
        <v>2257</v>
      </c>
      <c r="G266" t="s">
        <v>1967</v>
      </c>
      <c r="H266" t="str">
        <f t="shared" si="19"/>
        <v>ML6421A3005</v>
      </c>
      <c r="M266" t="s">
        <v>1324</v>
      </c>
      <c r="N266">
        <v>5</v>
      </c>
      <c r="O266" t="s">
        <v>5</v>
      </c>
      <c r="P266">
        <v>17033</v>
      </c>
      <c r="Q266">
        <v>85165</v>
      </c>
    </row>
    <row r="267" spans="1:17" x14ac:dyDescent="0.35">
      <c r="A267" t="s">
        <v>1325</v>
      </c>
      <c r="B267" t="str">
        <f t="shared" si="16"/>
        <v>D 95.6511.02 SI</v>
      </c>
      <c r="C267" t="str">
        <f t="shared" si="17"/>
        <v xml:space="preserve"> 820611</v>
      </c>
      <c r="D267" t="str">
        <f t="shared" si="18"/>
        <v>80</v>
      </c>
      <c r="E267" t="s">
        <v>1801</v>
      </c>
      <c r="F267" t="s">
        <v>2258</v>
      </c>
      <c r="G267" t="s">
        <v>2259</v>
      </c>
      <c r="H267" t="str">
        <f t="shared" si="19"/>
        <v>820611</v>
      </c>
      <c r="M267" t="s">
        <v>1326</v>
      </c>
      <c r="N267">
        <v>80</v>
      </c>
      <c r="O267" t="s">
        <v>2</v>
      </c>
      <c r="P267">
        <v>1063.3125</v>
      </c>
      <c r="Q267">
        <v>85065</v>
      </c>
    </row>
    <row r="268" spans="1:17" x14ac:dyDescent="0.35">
      <c r="A268" t="s">
        <v>1327</v>
      </c>
      <c r="B268" t="str">
        <f t="shared" si="16"/>
        <v>3-WAY VALVE PN16 DN32 KVS16</v>
      </c>
      <c r="C268" t="str">
        <f t="shared" si="17"/>
        <v xml:space="preserve"> V5329A1046</v>
      </c>
      <c r="D268" t="str">
        <f t="shared" si="18"/>
        <v>2</v>
      </c>
      <c r="E268" t="s">
        <v>1802</v>
      </c>
      <c r="F268" t="s">
        <v>2260</v>
      </c>
      <c r="G268" t="s">
        <v>1990</v>
      </c>
      <c r="H268" t="str">
        <f t="shared" si="19"/>
        <v>V5329A1046</v>
      </c>
      <c r="M268" t="s">
        <v>1328</v>
      </c>
      <c r="N268">
        <v>2</v>
      </c>
      <c r="O268" t="s">
        <v>2</v>
      </c>
      <c r="P268">
        <v>42299.4</v>
      </c>
      <c r="Q268">
        <v>84598.8</v>
      </c>
    </row>
    <row r="269" spans="1:17" x14ac:dyDescent="0.35">
      <c r="A269" t="s">
        <v>1329</v>
      </c>
      <c r="B269" t="str">
        <f t="shared" si="16"/>
        <v>FROST PROTECTION THERMOSTAT 6M MANUAL</v>
      </c>
      <c r="C269" t="str">
        <f t="shared" si="17"/>
        <v xml:space="preserve"> FT6960-60</v>
      </c>
      <c r="D269" t="str">
        <f t="shared" si="18"/>
        <v>3</v>
      </c>
      <c r="E269" t="s">
        <v>1803</v>
      </c>
      <c r="F269" t="s">
        <v>2261</v>
      </c>
      <c r="G269" t="s">
        <v>2026</v>
      </c>
      <c r="H269" t="str">
        <f t="shared" si="19"/>
        <v>FT6960-60</v>
      </c>
      <c r="M269" t="s">
        <v>1330</v>
      </c>
      <c r="N269">
        <v>3</v>
      </c>
      <c r="O269" t="s">
        <v>2</v>
      </c>
      <c r="P269">
        <v>27186.566666666669</v>
      </c>
      <c r="Q269">
        <v>81559.7</v>
      </c>
    </row>
    <row r="270" spans="1:17" x14ac:dyDescent="0.35">
      <c r="A270" t="s">
        <v>1331</v>
      </c>
      <c r="B270" t="str">
        <f t="shared" si="16"/>
        <v>Optical rack</v>
      </c>
      <c r="C270" t="str">
        <f t="shared" si="17"/>
        <v xml:space="preserve"> FCP3-RACK</v>
      </c>
      <c r="D270" t="str">
        <f t="shared" si="18"/>
        <v>7</v>
      </c>
      <c r="E270" t="s">
        <v>1804</v>
      </c>
      <c r="F270" t="s">
        <v>2262</v>
      </c>
      <c r="G270" t="s">
        <v>2065</v>
      </c>
      <c r="H270" t="str">
        <f t="shared" si="19"/>
        <v>FCP3-RACK</v>
      </c>
      <c r="M270" t="s">
        <v>1332</v>
      </c>
      <c r="N270">
        <v>7</v>
      </c>
      <c r="O270" t="s">
        <v>2</v>
      </c>
      <c r="P270">
        <v>11265.28571428571</v>
      </c>
      <c r="Q270">
        <v>78857</v>
      </c>
    </row>
    <row r="271" spans="1:17" x14ac:dyDescent="0.35">
      <c r="A271" t="s">
        <v>1333</v>
      </c>
      <c r="B271" t="str">
        <f t="shared" si="16"/>
        <v>2-WAY VALVE PN16 DN15 KVS1</v>
      </c>
      <c r="C271" t="str">
        <f t="shared" si="17"/>
        <v xml:space="preserve"> V5328A1005</v>
      </c>
      <c r="D271" t="str">
        <f t="shared" si="18"/>
        <v>1</v>
      </c>
      <c r="E271" t="s">
        <v>1763</v>
      </c>
      <c r="F271" t="s">
        <v>2263</v>
      </c>
      <c r="G271" t="s">
        <v>1996</v>
      </c>
      <c r="H271" t="str">
        <f t="shared" si="19"/>
        <v>V5328A1005</v>
      </c>
      <c r="M271" t="s">
        <v>1334</v>
      </c>
      <c r="N271">
        <v>1</v>
      </c>
      <c r="O271" t="s">
        <v>5</v>
      </c>
      <c r="P271">
        <v>77177</v>
      </c>
      <c r="Q271">
        <v>77177</v>
      </c>
    </row>
    <row r="272" spans="1:17" x14ac:dyDescent="0.35">
      <c r="A272" t="s">
        <v>1333</v>
      </c>
      <c r="B272" t="str">
        <f t="shared" si="16"/>
        <v>2-WAY VALVE PN16 DN15 KVS1</v>
      </c>
      <c r="C272" t="str">
        <f t="shared" si="17"/>
        <v xml:space="preserve"> V5328A1005</v>
      </c>
      <c r="D272" t="str">
        <f t="shared" si="18"/>
        <v>1</v>
      </c>
      <c r="E272" t="s">
        <v>1763</v>
      </c>
      <c r="F272" t="s">
        <v>2263</v>
      </c>
      <c r="G272" t="s">
        <v>1996</v>
      </c>
      <c r="H272" t="str">
        <f t="shared" si="19"/>
        <v>V5328A1005</v>
      </c>
      <c r="M272" t="s">
        <v>1334</v>
      </c>
      <c r="N272">
        <v>1</v>
      </c>
      <c r="O272" t="s">
        <v>5</v>
      </c>
      <c r="P272">
        <v>77177</v>
      </c>
      <c r="Q272">
        <v>77177</v>
      </c>
    </row>
    <row r="273" spans="1:17" x14ac:dyDescent="0.35">
      <c r="A273" t="s">
        <v>1335</v>
      </c>
      <c r="B273" t="str">
        <f t="shared" si="16"/>
        <v>2-WAY VALVE PN16 DN20 KVS4</v>
      </c>
      <c r="C273" t="str">
        <f t="shared" si="17"/>
        <v xml:space="preserve"> V5328A1047</v>
      </c>
      <c r="D273" t="str">
        <f t="shared" si="18"/>
        <v>1</v>
      </c>
      <c r="E273" t="s">
        <v>1805</v>
      </c>
      <c r="F273" t="s">
        <v>2264</v>
      </c>
      <c r="G273" t="s">
        <v>1996</v>
      </c>
      <c r="H273" t="str">
        <f t="shared" si="19"/>
        <v>V5328A1047</v>
      </c>
      <c r="M273" t="s">
        <v>1336</v>
      </c>
      <c r="N273">
        <v>1</v>
      </c>
      <c r="O273" t="s">
        <v>2</v>
      </c>
      <c r="P273">
        <v>77177</v>
      </c>
      <c r="Q273">
        <v>77177</v>
      </c>
    </row>
    <row r="274" spans="1:17" x14ac:dyDescent="0.35">
      <c r="A274" t="s">
        <v>1337</v>
      </c>
      <c r="B274" t="str">
        <f t="shared" si="16"/>
        <v>D 20.672.192 T</v>
      </c>
      <c r="C274" t="str">
        <f t="shared" si="17"/>
        <v xml:space="preserve"> 35211</v>
      </c>
      <c r="D274" t="str">
        <f t="shared" si="18"/>
        <v>59</v>
      </c>
      <c r="E274" t="s">
        <v>1806</v>
      </c>
      <c r="F274" t="s">
        <v>2265</v>
      </c>
      <c r="G274" t="s">
        <v>2266</v>
      </c>
      <c r="H274" t="str">
        <f t="shared" si="19"/>
        <v>35211</v>
      </c>
      <c r="M274" t="s">
        <v>1338</v>
      </c>
      <c r="N274">
        <v>59</v>
      </c>
      <c r="O274" t="s">
        <v>2</v>
      </c>
      <c r="P274">
        <v>1226.333333333333</v>
      </c>
      <c r="Q274">
        <v>72353.666666666657</v>
      </c>
    </row>
    <row r="275" spans="1:17" x14ac:dyDescent="0.35">
      <c r="A275" t="s">
        <v>1339</v>
      </c>
      <c r="B275" t="str">
        <f t="shared" si="16"/>
        <v>D 20.671.222.022</v>
      </c>
      <c r="C275" t="str">
        <f t="shared" si="17"/>
        <v xml:space="preserve"> 184791</v>
      </c>
      <c r="D275" t="str">
        <f t="shared" si="18"/>
        <v>21</v>
      </c>
      <c r="E275" t="s">
        <v>1807</v>
      </c>
      <c r="F275" t="s">
        <v>2267</v>
      </c>
      <c r="G275" t="s">
        <v>2268</v>
      </c>
      <c r="H275" t="str">
        <f t="shared" si="19"/>
        <v>184791</v>
      </c>
      <c r="M275" t="s">
        <v>1340</v>
      </c>
      <c r="N275">
        <v>21</v>
      </c>
      <c r="O275" t="s">
        <v>2</v>
      </c>
      <c r="P275">
        <v>3348.8095238095239</v>
      </c>
      <c r="Q275">
        <v>70325</v>
      </c>
    </row>
    <row r="276" spans="1:17" x14ac:dyDescent="0.35">
      <c r="A276" t="s">
        <v>1341</v>
      </c>
      <c r="B276" t="str">
        <f t="shared" si="16"/>
        <v>luminAXS mifareD readerRS485/c-d/W wo kb</v>
      </c>
      <c r="C276" t="str">
        <f t="shared" si="17"/>
        <v xml:space="preserve"> 027913.10</v>
      </c>
      <c r="D276" t="str">
        <f t="shared" si="18"/>
        <v>2</v>
      </c>
      <c r="E276" t="s">
        <v>1773</v>
      </c>
      <c r="F276" t="s">
        <v>2221</v>
      </c>
      <c r="G276" t="s">
        <v>1990</v>
      </c>
      <c r="H276" t="str">
        <f t="shared" si="19"/>
        <v>027913.10</v>
      </c>
      <c r="M276" t="s">
        <v>1258</v>
      </c>
      <c r="N276">
        <v>2</v>
      </c>
      <c r="O276" t="s">
        <v>5</v>
      </c>
      <c r="P276">
        <v>34276.714285714283</v>
      </c>
      <c r="Q276">
        <v>68553.428571428565</v>
      </c>
    </row>
    <row r="277" spans="1:17" x14ac:dyDescent="0.35">
      <c r="A277" t="s">
        <v>1342</v>
      </c>
      <c r="B277" t="str">
        <f t="shared" si="16"/>
        <v>Sensor of Overhead presence</v>
      </c>
      <c r="C277" t="str">
        <f t="shared" si="17"/>
        <v xml:space="preserve"> EP10425882</v>
      </c>
      <c r="D277" t="str">
        <f t="shared" si="18"/>
        <v>4</v>
      </c>
      <c r="E277" t="s">
        <v>1808</v>
      </c>
      <c r="F277" t="s">
        <v>2269</v>
      </c>
      <c r="G277" t="s">
        <v>2040</v>
      </c>
      <c r="H277" t="str">
        <f t="shared" si="19"/>
        <v>EP10425882</v>
      </c>
      <c r="M277" t="s">
        <v>1343</v>
      </c>
      <c r="N277">
        <v>4</v>
      </c>
      <c r="O277" t="s">
        <v>5</v>
      </c>
      <c r="P277">
        <v>17036.75</v>
      </c>
      <c r="Q277">
        <v>68147</v>
      </c>
    </row>
    <row r="278" spans="1:17" x14ac:dyDescent="0.35">
      <c r="A278" t="s">
        <v>1344</v>
      </c>
      <c r="B278" t="str">
        <f t="shared" si="16"/>
        <v>DAMPER ACTUATOR 5NM 230V 2-POS</v>
      </c>
      <c r="C278" t="str">
        <f t="shared" si="17"/>
        <v xml:space="preserve"> N05230-2POS</v>
      </c>
      <c r="D278" t="str">
        <f t="shared" si="18"/>
        <v>4</v>
      </c>
      <c r="E278" t="s">
        <v>1809</v>
      </c>
      <c r="F278" t="s">
        <v>2270</v>
      </c>
      <c r="G278" t="s">
        <v>2040</v>
      </c>
      <c r="H278" t="str">
        <f t="shared" si="19"/>
        <v>N05230-2POS</v>
      </c>
      <c r="M278" t="s">
        <v>1345</v>
      </c>
      <c r="N278">
        <v>4</v>
      </c>
      <c r="O278" t="s">
        <v>2</v>
      </c>
      <c r="P278">
        <v>16735</v>
      </c>
      <c r="Q278">
        <v>66940</v>
      </c>
    </row>
    <row r="279" spans="1:17" x14ac:dyDescent="0.35">
      <c r="A279" t="s">
        <v>1346</v>
      </c>
      <c r="B279" t="str">
        <f t="shared" si="16"/>
        <v>COMBI VALVE DN50 360MBAR IP65 230V DIN</v>
      </c>
      <c r="C279" t="str">
        <f t="shared" si="17"/>
        <v xml:space="preserve"> VQ450MA1015</v>
      </c>
      <c r="D279" t="str">
        <f t="shared" si="18"/>
        <v>1</v>
      </c>
      <c r="E279" t="s">
        <v>1810</v>
      </c>
      <c r="F279" t="s">
        <v>2271</v>
      </c>
      <c r="G279" t="s">
        <v>1996</v>
      </c>
      <c r="H279" t="str">
        <f t="shared" si="19"/>
        <v>VQ450MA1015</v>
      </c>
      <c r="M279" t="s">
        <v>1347</v>
      </c>
      <c r="N279">
        <v>1</v>
      </c>
      <c r="O279" t="s">
        <v>5</v>
      </c>
      <c r="P279">
        <v>66313</v>
      </c>
      <c r="Q279">
        <v>66313</v>
      </c>
    </row>
    <row r="280" spans="1:17" x14ac:dyDescent="0.35">
      <c r="A280" t="s">
        <v>1348</v>
      </c>
      <c r="B280" t="str">
        <f t="shared" si="16"/>
        <v>Ip-interface IPS/S3.1.1</v>
      </c>
      <c r="C280" t="str">
        <f t="shared" si="17"/>
        <v xml:space="preserve"> 2CDG110177R0011</v>
      </c>
      <c r="D280" t="str">
        <f t="shared" si="18"/>
        <v>1</v>
      </c>
      <c r="E280" t="s">
        <v>1811</v>
      </c>
      <c r="F280" t="s">
        <v>2272</v>
      </c>
      <c r="G280" t="s">
        <v>1996</v>
      </c>
      <c r="H280" t="str">
        <f t="shared" si="19"/>
        <v>2CDG110177R0011</v>
      </c>
      <c r="M280" t="s">
        <v>1349</v>
      </c>
      <c r="N280">
        <v>1</v>
      </c>
      <c r="O280" t="s">
        <v>5</v>
      </c>
      <c r="P280">
        <v>66119</v>
      </c>
      <c r="Q280">
        <v>66119</v>
      </c>
    </row>
    <row r="281" spans="1:17" x14ac:dyDescent="0.35">
      <c r="A281" t="s">
        <v>1350</v>
      </c>
      <c r="B281" t="str">
        <f t="shared" si="16"/>
        <v>D 20.671.240.192</v>
      </c>
      <c r="C281" t="str">
        <f t="shared" si="17"/>
        <v xml:space="preserve"> 185191</v>
      </c>
      <c r="D281" t="str">
        <f t="shared" si="18"/>
        <v>34</v>
      </c>
      <c r="E281" t="s">
        <v>1812</v>
      </c>
      <c r="F281" t="s">
        <v>2273</v>
      </c>
      <c r="G281" t="s">
        <v>2274</v>
      </c>
      <c r="H281" t="str">
        <f t="shared" si="19"/>
        <v>185191</v>
      </c>
      <c r="M281" t="s">
        <v>1351</v>
      </c>
      <c r="N281">
        <v>34</v>
      </c>
      <c r="O281" t="s">
        <v>2</v>
      </c>
      <c r="P281">
        <v>1917.117647058823</v>
      </c>
      <c r="Q281">
        <v>65182</v>
      </c>
    </row>
    <row r="282" spans="1:17" x14ac:dyDescent="0.35">
      <c r="A282" t="s">
        <v>1352</v>
      </c>
      <c r="B282" t="str">
        <f t="shared" si="16"/>
        <v>3-WAY VALVE PN6 DN80 KVS100</v>
      </c>
      <c r="C282" t="str">
        <f t="shared" si="17"/>
        <v xml:space="preserve"> V5329C1083</v>
      </c>
      <c r="D282" t="str">
        <f t="shared" si="18"/>
        <v>1</v>
      </c>
      <c r="E282" t="s">
        <v>1766</v>
      </c>
      <c r="F282" t="s">
        <v>2211</v>
      </c>
      <c r="G282" t="s">
        <v>1996</v>
      </c>
      <c r="H282" t="str">
        <f t="shared" si="19"/>
        <v>V5329C1083</v>
      </c>
      <c r="M282" t="s">
        <v>1240</v>
      </c>
      <c r="N282">
        <v>1</v>
      </c>
      <c r="O282" t="s">
        <v>2</v>
      </c>
      <c r="P282">
        <v>65092.4</v>
      </c>
      <c r="Q282">
        <v>65092.4</v>
      </c>
    </row>
    <row r="283" spans="1:17" x14ac:dyDescent="0.35">
      <c r="A283" t="s">
        <v>1353</v>
      </c>
      <c r="B283" t="str">
        <f t="shared" si="16"/>
        <v>D 20.673.222.192</v>
      </c>
      <c r="C283" t="str">
        <f t="shared" si="17"/>
        <v xml:space="preserve"> 189091</v>
      </c>
      <c r="D283" t="str">
        <f t="shared" si="18"/>
        <v>7</v>
      </c>
      <c r="E283" t="s">
        <v>1813</v>
      </c>
      <c r="F283" t="s">
        <v>2275</v>
      </c>
      <c r="G283" t="s">
        <v>2065</v>
      </c>
      <c r="H283" t="str">
        <f t="shared" si="19"/>
        <v>189091</v>
      </c>
      <c r="M283" t="s">
        <v>1354</v>
      </c>
      <c r="N283">
        <v>7</v>
      </c>
      <c r="O283" t="s">
        <v>2</v>
      </c>
      <c r="P283">
        <v>9291.2999999999993</v>
      </c>
      <c r="Q283">
        <v>65039.099999999991</v>
      </c>
    </row>
    <row r="284" spans="1:17" x14ac:dyDescent="0.35">
      <c r="A284" t="s">
        <v>1355</v>
      </c>
      <c r="B284" t="str">
        <f t="shared" si="16"/>
        <v>D 95.571.70.60</v>
      </c>
      <c r="C284" t="str">
        <f t="shared" si="17"/>
        <v xml:space="preserve"> 773111</v>
      </c>
      <c r="D284" t="str">
        <f t="shared" si="18"/>
        <v>43</v>
      </c>
      <c r="E284" t="s">
        <v>1814</v>
      </c>
      <c r="F284" t="s">
        <v>2276</v>
      </c>
      <c r="G284" t="s">
        <v>2167</v>
      </c>
      <c r="H284" t="str">
        <f t="shared" si="19"/>
        <v>773111</v>
      </c>
      <c r="M284" t="s">
        <v>1356</v>
      </c>
      <c r="N284">
        <v>43</v>
      </c>
      <c r="O284" t="s">
        <v>2</v>
      </c>
      <c r="P284">
        <v>1484.0930232558139</v>
      </c>
      <c r="Q284">
        <v>63816</v>
      </c>
    </row>
    <row r="285" spans="1:17" x14ac:dyDescent="0.35">
      <c r="A285" t="s">
        <v>1357</v>
      </c>
      <c r="B285" t="str">
        <f t="shared" si="16"/>
        <v>D 1930/4.02 O.A.</v>
      </c>
      <c r="C285" t="str">
        <f t="shared" si="17"/>
        <v xml:space="preserve"> 902591</v>
      </c>
      <c r="D285" t="str">
        <f t="shared" si="18"/>
        <v>26</v>
      </c>
      <c r="E285" t="s">
        <v>1815</v>
      </c>
      <c r="F285" t="s">
        <v>2277</v>
      </c>
      <c r="G285" t="s">
        <v>2278</v>
      </c>
      <c r="H285" t="str">
        <f t="shared" si="19"/>
        <v>902591</v>
      </c>
      <c r="M285" t="s">
        <v>1358</v>
      </c>
      <c r="N285">
        <v>26</v>
      </c>
      <c r="O285" t="s">
        <v>5</v>
      </c>
      <c r="P285">
        <v>2447</v>
      </c>
      <c r="Q285">
        <v>63622</v>
      </c>
    </row>
    <row r="286" spans="1:17" x14ac:dyDescent="0.35">
      <c r="A286" t="s">
        <v>1359</v>
      </c>
      <c r="B286" t="str">
        <f t="shared" si="16"/>
        <v>D 95.540.70</v>
      </c>
      <c r="C286" t="str">
        <f t="shared" si="17"/>
        <v xml:space="preserve"> 309811</v>
      </c>
      <c r="D286" t="str">
        <f t="shared" si="18"/>
        <v>82</v>
      </c>
      <c r="E286" t="s">
        <v>1816</v>
      </c>
      <c r="F286" t="s">
        <v>2279</v>
      </c>
      <c r="G286" t="s">
        <v>2280</v>
      </c>
      <c r="H286" t="str">
        <f t="shared" si="19"/>
        <v>309811</v>
      </c>
      <c r="M286" t="s">
        <v>1360</v>
      </c>
      <c r="N286">
        <v>82</v>
      </c>
      <c r="O286" t="s">
        <v>2</v>
      </c>
      <c r="P286">
        <v>775.21951219512198</v>
      </c>
      <c r="Q286">
        <v>63568</v>
      </c>
    </row>
    <row r="287" spans="1:17" x14ac:dyDescent="0.35">
      <c r="A287" t="s">
        <v>1361</v>
      </c>
      <c r="B287" t="str">
        <f t="shared" si="16"/>
        <v>D 20.545.02</v>
      </c>
      <c r="C287" t="str">
        <f t="shared" si="17"/>
        <v xml:space="preserve"> 104011</v>
      </c>
      <c r="D287" t="str">
        <f t="shared" si="18"/>
        <v>92</v>
      </c>
      <c r="E287" t="s">
        <v>1817</v>
      </c>
      <c r="F287" t="s">
        <v>2281</v>
      </c>
      <c r="G287" t="s">
        <v>2282</v>
      </c>
      <c r="H287" t="str">
        <f t="shared" si="19"/>
        <v>104011</v>
      </c>
      <c r="M287" t="s">
        <v>1362</v>
      </c>
      <c r="N287">
        <v>92</v>
      </c>
      <c r="O287" t="s">
        <v>2</v>
      </c>
      <c r="P287">
        <v>625.945652173913</v>
      </c>
      <c r="Q287">
        <v>57587</v>
      </c>
    </row>
    <row r="288" spans="1:17" x14ac:dyDescent="0.35">
      <c r="A288" t="s">
        <v>1363</v>
      </c>
      <c r="B288" t="str">
        <f t="shared" si="16"/>
        <v>Датчик перепада давления DIFF.TRANSM. 3-WIRE, - 1000Pa/+1000Pa</v>
      </c>
      <c r="C288" t="str">
        <f t="shared" si="17"/>
        <v xml:space="preserve"> DPTE1000S</v>
      </c>
      <c r="D288" t="str">
        <f t="shared" si="18"/>
        <v>1</v>
      </c>
      <c r="E288" t="s">
        <v>2283</v>
      </c>
      <c r="F288" t="s">
        <v>2284</v>
      </c>
      <c r="G288" t="s">
        <v>1996</v>
      </c>
      <c r="H288" t="str">
        <f t="shared" si="19"/>
        <v>DPTE1000S</v>
      </c>
      <c r="M288" t="s">
        <v>1364</v>
      </c>
      <c r="N288">
        <v>1</v>
      </c>
      <c r="O288" t="s">
        <v>5</v>
      </c>
      <c r="P288">
        <v>55842</v>
      </c>
      <c r="Q288">
        <v>55842</v>
      </c>
    </row>
    <row r="289" spans="1:17" x14ac:dyDescent="0.35">
      <c r="A289" t="s">
        <v>1365</v>
      </c>
      <c r="B289" t="str">
        <f t="shared" si="16"/>
        <v>3-WAY VALVES PN16 DN20 KVS 6.3 FEMALE</v>
      </c>
      <c r="C289" t="str">
        <f t="shared" si="17"/>
        <v xml:space="preserve"> V5013R1057</v>
      </c>
      <c r="D289" t="str">
        <f t="shared" si="18"/>
        <v>4</v>
      </c>
      <c r="E289" t="s">
        <v>1818</v>
      </c>
      <c r="F289" t="s">
        <v>2285</v>
      </c>
      <c r="G289" t="s">
        <v>2040</v>
      </c>
      <c r="H289" t="str">
        <f t="shared" si="19"/>
        <v>V5013R1057</v>
      </c>
      <c r="M289" t="s">
        <v>1366</v>
      </c>
      <c r="N289">
        <v>4</v>
      </c>
      <c r="O289" t="s">
        <v>5</v>
      </c>
      <c r="P289">
        <v>13321.857142857139</v>
      </c>
      <c r="Q289">
        <v>53287.428571428572</v>
      </c>
    </row>
    <row r="290" spans="1:17" x14ac:dyDescent="0.35">
      <c r="A290" t="s">
        <v>1367</v>
      </c>
      <c r="B290" t="str">
        <f t="shared" si="16"/>
        <v>D 20.545.702</v>
      </c>
      <c r="C290" t="str">
        <f t="shared" si="17"/>
        <v xml:space="preserve"> 54611</v>
      </c>
      <c r="D290" t="str">
        <f t="shared" si="18"/>
        <v>50</v>
      </c>
      <c r="E290" t="s">
        <v>1819</v>
      </c>
      <c r="F290" t="s">
        <v>2286</v>
      </c>
      <c r="G290" t="s">
        <v>2060</v>
      </c>
      <c r="H290" t="str">
        <f t="shared" si="19"/>
        <v>54611</v>
      </c>
      <c r="M290" t="s">
        <v>1368</v>
      </c>
      <c r="N290">
        <v>50</v>
      </c>
      <c r="O290" t="s">
        <v>2</v>
      </c>
      <c r="P290">
        <v>1040.6199999999999</v>
      </c>
      <c r="Q290">
        <v>52030.999999999993</v>
      </c>
    </row>
    <row r="291" spans="1:17" x14ac:dyDescent="0.35">
      <c r="A291" t="s">
        <v>1369</v>
      </c>
      <c r="B291" t="str">
        <f t="shared" si="16"/>
        <v>Media converter</v>
      </c>
      <c r="C291" t="str">
        <f t="shared" si="17"/>
        <v xml:space="preserve"> AT-MMC200LX</v>
      </c>
      <c r="D291" t="str">
        <f t="shared" si="18"/>
        <v>4</v>
      </c>
      <c r="E291" t="s">
        <v>1820</v>
      </c>
      <c r="F291" t="s">
        <v>2287</v>
      </c>
      <c r="G291" t="s">
        <v>2040</v>
      </c>
      <c r="H291" t="str">
        <f t="shared" si="19"/>
        <v>AT-MMC200LX</v>
      </c>
      <c r="M291" t="s">
        <v>1370</v>
      </c>
      <c r="N291">
        <v>4</v>
      </c>
      <c r="O291" t="s">
        <v>5</v>
      </c>
      <c r="P291">
        <v>12908.75</v>
      </c>
      <c r="Q291">
        <v>51635</v>
      </c>
    </row>
    <row r="292" spans="1:17" x14ac:dyDescent="0.35">
      <c r="A292" t="s">
        <v>1371</v>
      </c>
      <c r="B292" t="str">
        <f t="shared" si="16"/>
        <v>ACT.DIRECT SPR.RET.230V</v>
      </c>
      <c r="C292" t="str">
        <f t="shared" si="17"/>
        <v xml:space="preserve"> ML6425A3014</v>
      </c>
      <c r="D292" t="str">
        <f t="shared" si="18"/>
        <v>1</v>
      </c>
      <c r="E292" t="s">
        <v>1821</v>
      </c>
      <c r="F292" t="s">
        <v>2288</v>
      </c>
      <c r="G292" t="s">
        <v>1996</v>
      </c>
      <c r="H292" t="str">
        <f t="shared" si="19"/>
        <v>ML6425A3014</v>
      </c>
      <c r="M292" t="s">
        <v>1372</v>
      </c>
      <c r="N292">
        <v>1</v>
      </c>
      <c r="O292" t="s">
        <v>5</v>
      </c>
      <c r="P292">
        <v>50917.25</v>
      </c>
      <c r="Q292">
        <v>50917.25</v>
      </c>
    </row>
    <row r="293" spans="1:17" x14ac:dyDescent="0.35">
      <c r="A293" t="s">
        <v>1373</v>
      </c>
      <c r="B293" t="str">
        <f t="shared" si="16"/>
        <v>Видеокарта NVIDIA Quadro</v>
      </c>
      <c r="C293" t="str">
        <f t="shared" si="17"/>
        <v xml:space="preserve"> P400-RU</v>
      </c>
      <c r="D293" t="str">
        <f t="shared" si="18"/>
        <v>4</v>
      </c>
      <c r="E293" t="s">
        <v>1822</v>
      </c>
      <c r="F293" t="s">
        <v>2289</v>
      </c>
      <c r="G293" t="s">
        <v>2040</v>
      </c>
      <c r="H293" t="str">
        <f t="shared" si="19"/>
        <v>P400-RU</v>
      </c>
      <c r="M293" t="s">
        <v>1374</v>
      </c>
      <c r="N293">
        <v>4</v>
      </c>
      <c r="O293" t="s">
        <v>5</v>
      </c>
      <c r="P293">
        <v>12231</v>
      </c>
      <c r="Q293">
        <v>48924</v>
      </c>
    </row>
    <row r="294" spans="1:17" x14ac:dyDescent="0.35">
      <c r="A294" t="s">
        <v>1375</v>
      </c>
      <c r="B294" t="str">
        <f t="shared" si="16"/>
        <v>D 20.6511.02 OKS</v>
      </c>
      <c r="C294" t="str">
        <f t="shared" si="17"/>
        <v xml:space="preserve"> 106511</v>
      </c>
      <c r="D294" t="str">
        <f t="shared" si="18"/>
        <v>104</v>
      </c>
      <c r="E294" t="s">
        <v>1823</v>
      </c>
      <c r="F294" t="s">
        <v>2290</v>
      </c>
      <c r="G294" t="s">
        <v>2291</v>
      </c>
      <c r="H294" t="str">
        <f t="shared" si="19"/>
        <v>106511</v>
      </c>
      <c r="M294" t="s">
        <v>1376</v>
      </c>
      <c r="N294">
        <v>104</v>
      </c>
      <c r="O294" t="s">
        <v>2</v>
      </c>
      <c r="P294">
        <v>452.5</v>
      </c>
      <c r="Q294">
        <v>47060</v>
      </c>
    </row>
    <row r="295" spans="1:17" x14ac:dyDescent="0.35">
      <c r="A295" t="s">
        <v>414</v>
      </c>
      <c r="B295" t="str">
        <f t="shared" si="16"/>
        <v>PSU 52Ah for MB-Secure</v>
      </c>
      <c r="C295" t="str">
        <f t="shared" si="17"/>
        <v xml:space="preserve"> 13960</v>
      </c>
      <c r="D295" t="str">
        <f t="shared" si="18"/>
        <v>1</v>
      </c>
      <c r="E295" t="s">
        <v>1738</v>
      </c>
      <c r="F295" t="s">
        <v>2163</v>
      </c>
      <c r="G295" t="s">
        <v>1996</v>
      </c>
      <c r="H295" t="str">
        <f t="shared" si="19"/>
        <v>13960</v>
      </c>
      <c r="M295" t="s">
        <v>415</v>
      </c>
      <c r="N295">
        <v>1</v>
      </c>
      <c r="O295" t="s">
        <v>5</v>
      </c>
      <c r="P295">
        <v>46288.364705882363</v>
      </c>
      <c r="Q295">
        <v>46288.364705882363</v>
      </c>
    </row>
    <row r="296" spans="1:17" x14ac:dyDescent="0.35">
      <c r="A296" t="s">
        <v>1377</v>
      </c>
      <c r="B296" t="str">
        <f t="shared" si="16"/>
        <v>D 95.6511.26</v>
      </c>
      <c r="C296" t="str">
        <f t="shared" si="17"/>
        <v xml:space="preserve"> 775511</v>
      </c>
      <c r="D296" t="str">
        <f t="shared" si="18"/>
        <v>50</v>
      </c>
      <c r="E296" t="s">
        <v>1824</v>
      </c>
      <c r="F296" t="s">
        <v>2292</v>
      </c>
      <c r="G296" t="s">
        <v>2060</v>
      </c>
      <c r="H296" t="str">
        <f t="shared" si="19"/>
        <v>775511</v>
      </c>
      <c r="M296" t="s">
        <v>1378</v>
      </c>
      <c r="N296">
        <v>50</v>
      </c>
      <c r="O296" t="s">
        <v>2</v>
      </c>
      <c r="P296">
        <v>918.4</v>
      </c>
      <c r="Q296">
        <v>45920</v>
      </c>
    </row>
    <row r="297" spans="1:17" x14ac:dyDescent="0.35">
      <c r="A297" t="s">
        <v>1379</v>
      </c>
      <c r="B297" t="str">
        <f t="shared" si="16"/>
        <v>EXTERNAL THREAD WITH NBR O-RING</v>
      </c>
      <c r="C297" t="str">
        <f t="shared" si="17"/>
        <v xml:space="preserve"> MAU8/MS</v>
      </c>
      <c r="D297" t="str">
        <f t="shared" si="18"/>
        <v>7</v>
      </c>
      <c r="E297" t="s">
        <v>1825</v>
      </c>
      <c r="F297" t="s">
        <v>2293</v>
      </c>
      <c r="G297" t="s">
        <v>2065</v>
      </c>
      <c r="H297" t="str">
        <f t="shared" si="19"/>
        <v>MAU8/MS</v>
      </c>
      <c r="M297" t="s">
        <v>1380</v>
      </c>
      <c r="N297">
        <v>7</v>
      </c>
      <c r="O297" t="s">
        <v>5</v>
      </c>
      <c r="P297">
        <v>6547.55</v>
      </c>
      <c r="Q297">
        <v>45832.85</v>
      </c>
    </row>
    <row r="298" spans="1:17" x14ac:dyDescent="0.35">
      <c r="A298" t="s">
        <v>1381</v>
      </c>
      <c r="B298" t="str">
        <f t="shared" si="16"/>
        <v>50004263-001 230-120-24/24V TRANSFORMER</v>
      </c>
      <c r="C298" t="str">
        <f t="shared" si="17"/>
        <v xml:space="preserve"> 50017460-001/U</v>
      </c>
      <c r="D298" t="str">
        <f t="shared" si="18"/>
        <v>3</v>
      </c>
      <c r="E298" t="s">
        <v>1826</v>
      </c>
      <c r="F298" t="s">
        <v>2294</v>
      </c>
      <c r="G298" t="s">
        <v>2026</v>
      </c>
      <c r="H298" t="str">
        <f t="shared" si="19"/>
        <v>50017460-001/U</v>
      </c>
      <c r="M298" t="s">
        <v>1382</v>
      </c>
      <c r="N298">
        <v>3</v>
      </c>
      <c r="O298" t="s">
        <v>5</v>
      </c>
      <c r="P298">
        <v>14960</v>
      </c>
      <c r="Q298">
        <v>44880</v>
      </c>
    </row>
    <row r="299" spans="1:17" x14ac:dyDescent="0.35">
      <c r="A299" t="s">
        <v>1383</v>
      </c>
      <c r="B299" t="str">
        <f t="shared" si="16"/>
        <v>D 20.671.223.192</v>
      </c>
      <c r="C299" t="str">
        <f t="shared" si="17"/>
        <v xml:space="preserve"> 185091</v>
      </c>
      <c r="D299" t="str">
        <f t="shared" si="18"/>
        <v>13</v>
      </c>
      <c r="E299" t="s">
        <v>1827</v>
      </c>
      <c r="F299" t="s">
        <v>2295</v>
      </c>
      <c r="G299" t="s">
        <v>1950</v>
      </c>
      <c r="H299" t="str">
        <f t="shared" si="19"/>
        <v>185091</v>
      </c>
      <c r="M299" t="s">
        <v>1384</v>
      </c>
      <c r="N299">
        <v>13</v>
      </c>
      <c r="O299" t="s">
        <v>2</v>
      </c>
      <c r="P299">
        <v>3348.8461538461538</v>
      </c>
      <c r="Q299">
        <v>43535</v>
      </c>
    </row>
    <row r="300" spans="1:17" x14ac:dyDescent="0.35">
      <c r="A300" t="s">
        <v>1385</v>
      </c>
      <c r="B300" t="str">
        <f t="shared" si="16"/>
        <v>MOXA MGATE MODBUS GATEWAY</v>
      </c>
      <c r="C300" t="str">
        <f t="shared" si="17"/>
        <v xml:space="preserve"> MB3480</v>
      </c>
      <c r="D300" t="str">
        <f t="shared" si="18"/>
        <v>1</v>
      </c>
      <c r="E300" t="s">
        <v>1828</v>
      </c>
      <c r="F300" t="s">
        <v>2296</v>
      </c>
      <c r="G300" t="s">
        <v>1996</v>
      </c>
      <c r="H300" t="str">
        <f t="shared" si="19"/>
        <v>MB3480</v>
      </c>
      <c r="M300" t="s">
        <v>1386</v>
      </c>
      <c r="N300">
        <v>1</v>
      </c>
      <c r="O300" t="s">
        <v>5</v>
      </c>
      <c r="P300">
        <v>42020</v>
      </c>
      <c r="Q300">
        <v>42020</v>
      </c>
    </row>
    <row r="301" spans="1:17" x14ac:dyDescent="0.35">
      <c r="A301" t="s">
        <v>1387</v>
      </c>
      <c r="B301" t="str">
        <f t="shared" si="16"/>
        <v>2-WAY VALVES PN16 DN15 KVS 1.0</v>
      </c>
      <c r="C301" t="str">
        <f t="shared" si="17"/>
        <v xml:space="preserve"> V5832A1046</v>
      </c>
      <c r="D301" t="str">
        <f t="shared" si="18"/>
        <v>5</v>
      </c>
      <c r="E301" t="s">
        <v>1829</v>
      </c>
      <c r="F301" t="s">
        <v>2297</v>
      </c>
      <c r="G301" t="s">
        <v>1967</v>
      </c>
      <c r="H301" t="str">
        <f t="shared" si="19"/>
        <v>V5832A1046</v>
      </c>
      <c r="M301" t="s">
        <v>1388</v>
      </c>
      <c r="N301">
        <v>5</v>
      </c>
      <c r="O301" t="s">
        <v>5</v>
      </c>
      <c r="P301">
        <v>8239.9523809523816</v>
      </c>
      <c r="Q301">
        <v>41199.761904761908</v>
      </c>
    </row>
    <row r="302" spans="1:17" x14ac:dyDescent="0.35">
      <c r="A302" t="s">
        <v>1389</v>
      </c>
      <c r="B302" t="str">
        <f t="shared" si="16"/>
        <v>D 20.574.02 T</v>
      </c>
      <c r="C302" t="str">
        <f t="shared" si="17"/>
        <v xml:space="preserve"> 171411</v>
      </c>
      <c r="D302" t="str">
        <f t="shared" si="18"/>
        <v>20</v>
      </c>
      <c r="E302" t="s">
        <v>1830</v>
      </c>
      <c r="F302" t="s">
        <v>2298</v>
      </c>
      <c r="G302" t="s">
        <v>2078</v>
      </c>
      <c r="H302" t="str">
        <f t="shared" si="19"/>
        <v>171411</v>
      </c>
      <c r="M302" t="s">
        <v>1390</v>
      </c>
      <c r="N302">
        <v>20</v>
      </c>
      <c r="O302" t="s">
        <v>5</v>
      </c>
      <c r="P302">
        <v>2018.4</v>
      </c>
      <c r="Q302">
        <v>40368</v>
      </c>
    </row>
    <row r="303" spans="1:17" x14ac:dyDescent="0.35">
      <c r="A303" t="s">
        <v>1391</v>
      </c>
      <c r="B303" t="str">
        <f t="shared" si="16"/>
        <v>D 20.673.244.192</v>
      </c>
      <c r="C303" t="str">
        <f t="shared" si="17"/>
        <v xml:space="preserve"> 189791</v>
      </c>
      <c r="D303" t="str">
        <f t="shared" si="18"/>
        <v>7</v>
      </c>
      <c r="E303" t="s">
        <v>1831</v>
      </c>
      <c r="F303" t="s">
        <v>2299</v>
      </c>
      <c r="G303" t="s">
        <v>2065</v>
      </c>
      <c r="H303" t="str">
        <f t="shared" si="19"/>
        <v>189791</v>
      </c>
      <c r="M303" t="s">
        <v>1392</v>
      </c>
      <c r="N303">
        <v>7</v>
      </c>
      <c r="O303" t="s">
        <v>2</v>
      </c>
      <c r="P303">
        <v>5469.2857142857147</v>
      </c>
      <c r="Q303">
        <v>38285</v>
      </c>
    </row>
    <row r="304" spans="1:17" x14ac:dyDescent="0.35">
      <c r="A304" t="s">
        <v>1393</v>
      </c>
      <c r="B304" t="str">
        <f t="shared" si="16"/>
        <v>D 20.674.201.702</v>
      </c>
      <c r="C304" t="str">
        <f t="shared" si="17"/>
        <v xml:space="preserve"> 190191</v>
      </c>
      <c r="D304" t="str">
        <f t="shared" si="18"/>
        <v>3</v>
      </c>
      <c r="E304" t="s">
        <v>1832</v>
      </c>
      <c r="F304" t="s">
        <v>2300</v>
      </c>
      <c r="G304" t="s">
        <v>2026</v>
      </c>
      <c r="H304" t="str">
        <f t="shared" si="19"/>
        <v>190191</v>
      </c>
      <c r="M304" t="s">
        <v>1394</v>
      </c>
      <c r="N304">
        <v>3</v>
      </c>
      <c r="O304" t="s">
        <v>2</v>
      </c>
      <c r="P304">
        <v>12697</v>
      </c>
      <c r="Q304">
        <v>38091</v>
      </c>
    </row>
    <row r="305" spans="1:17" x14ac:dyDescent="0.35">
      <c r="A305" t="s">
        <v>1395</v>
      </c>
      <c r="B305" t="str">
        <f t="shared" si="16"/>
        <v>DAMPER ACTUATOR 34NM 24V FLOATING</v>
      </c>
      <c r="C305" t="str">
        <f t="shared" si="17"/>
        <v xml:space="preserve"> N3424</v>
      </c>
      <c r="D305" t="str">
        <f t="shared" si="18"/>
        <v>2</v>
      </c>
      <c r="E305" t="s">
        <v>1833</v>
      </c>
      <c r="F305" t="s">
        <v>2301</v>
      </c>
      <c r="G305" t="s">
        <v>1990</v>
      </c>
      <c r="H305" t="str">
        <f t="shared" si="19"/>
        <v>N3424</v>
      </c>
      <c r="M305" t="s">
        <v>1396</v>
      </c>
      <c r="N305">
        <v>2</v>
      </c>
      <c r="O305" t="s">
        <v>2</v>
      </c>
      <c r="P305">
        <v>18994</v>
      </c>
      <c r="Q305">
        <v>37988</v>
      </c>
    </row>
    <row r="306" spans="1:17" x14ac:dyDescent="0.35">
      <c r="A306" t="s">
        <v>1397</v>
      </c>
      <c r="B306" t="str">
        <f t="shared" si="16"/>
        <v>D 20.674.221.192</v>
      </c>
      <c r="C306" t="str">
        <f t="shared" si="17"/>
        <v xml:space="preserve"> 191091</v>
      </c>
      <c r="D306" t="str">
        <f t="shared" si="18"/>
        <v>3</v>
      </c>
      <c r="E306" t="s">
        <v>1834</v>
      </c>
      <c r="F306" t="s">
        <v>2302</v>
      </c>
      <c r="G306" t="s">
        <v>2026</v>
      </c>
      <c r="H306" t="str">
        <f t="shared" si="19"/>
        <v>191091</v>
      </c>
      <c r="M306" t="s">
        <v>1398</v>
      </c>
      <c r="N306">
        <v>3</v>
      </c>
      <c r="O306" t="s">
        <v>2</v>
      </c>
      <c r="P306">
        <v>12641</v>
      </c>
      <c r="Q306">
        <v>37923</v>
      </c>
    </row>
    <row r="307" spans="1:17" x14ac:dyDescent="0.35">
      <c r="A307" t="s">
        <v>1399</v>
      </c>
      <c r="B307" t="str">
        <f t="shared" si="16"/>
        <v>D 20.572.51.70</v>
      </c>
      <c r="C307" t="str">
        <f t="shared" si="17"/>
        <v xml:space="preserve"> 101411</v>
      </c>
      <c r="D307" t="str">
        <f t="shared" si="18"/>
        <v>6</v>
      </c>
      <c r="E307" t="s">
        <v>1835</v>
      </c>
      <c r="F307" t="s">
        <v>2303</v>
      </c>
      <c r="G307" t="s">
        <v>1955</v>
      </c>
      <c r="H307" t="str">
        <f t="shared" si="19"/>
        <v>101411</v>
      </c>
      <c r="M307" t="s">
        <v>1400</v>
      </c>
      <c r="N307">
        <v>6</v>
      </c>
      <c r="O307" t="s">
        <v>2</v>
      </c>
      <c r="P307">
        <v>6201.833333333333</v>
      </c>
      <c r="Q307">
        <v>37211</v>
      </c>
    </row>
    <row r="308" spans="1:17" x14ac:dyDescent="0.35">
      <c r="A308" t="s">
        <v>1401</v>
      </c>
      <c r="B308" t="str">
        <f t="shared" si="16"/>
        <v>Cable organazer</v>
      </c>
      <c r="C308" t="str">
        <f t="shared" si="17"/>
        <v xml:space="preserve"> HCM-4-2U</v>
      </c>
      <c r="D308" t="str">
        <f t="shared" si="18"/>
        <v>4</v>
      </c>
      <c r="E308" t="s">
        <v>1836</v>
      </c>
      <c r="F308" t="s">
        <v>2304</v>
      </c>
      <c r="G308" t="s">
        <v>2040</v>
      </c>
      <c r="H308" t="str">
        <f t="shared" si="19"/>
        <v>HCM-4-2U</v>
      </c>
      <c r="M308" t="s">
        <v>1402</v>
      </c>
      <c r="N308">
        <v>4</v>
      </c>
      <c r="O308" t="s">
        <v>2</v>
      </c>
      <c r="P308">
        <v>9290.5</v>
      </c>
      <c r="Q308">
        <v>37162</v>
      </c>
    </row>
    <row r="309" spans="1:17" x14ac:dyDescent="0.35">
      <c r="A309" t="s">
        <v>1403</v>
      </c>
      <c r="B309" t="str">
        <f t="shared" si="16"/>
        <v>Presence sensor PD-ATMO360i/8 T KNX</v>
      </c>
      <c r="C309" t="str">
        <f t="shared" si="17"/>
        <v xml:space="preserve"> EP10427213</v>
      </c>
      <c r="D309" t="str">
        <f t="shared" si="18"/>
        <v>1</v>
      </c>
      <c r="E309" t="s">
        <v>1837</v>
      </c>
      <c r="F309" t="s">
        <v>2305</v>
      </c>
      <c r="G309" t="s">
        <v>1996</v>
      </c>
      <c r="H309" t="str">
        <f t="shared" si="19"/>
        <v>EP10427213</v>
      </c>
      <c r="M309" t="s">
        <v>1404</v>
      </c>
      <c r="N309">
        <v>1</v>
      </c>
      <c r="O309" t="s">
        <v>5</v>
      </c>
      <c r="P309">
        <v>36607</v>
      </c>
      <c r="Q309">
        <v>36607</v>
      </c>
    </row>
    <row r="310" spans="1:17" x14ac:dyDescent="0.35">
      <c r="A310" t="s">
        <v>1405</v>
      </c>
      <c r="B310" t="str">
        <f t="shared" si="16"/>
        <v>D 20.572.150.21</v>
      </c>
      <c r="C310" t="str">
        <f t="shared" si="17"/>
        <v xml:space="preserve"> 162211</v>
      </c>
      <c r="D310" t="str">
        <f t="shared" si="18"/>
        <v>10</v>
      </c>
      <c r="E310" t="s">
        <v>1838</v>
      </c>
      <c r="F310" t="s">
        <v>2306</v>
      </c>
      <c r="G310" t="s">
        <v>2050</v>
      </c>
      <c r="H310" t="str">
        <f t="shared" si="19"/>
        <v>162211</v>
      </c>
      <c r="M310" t="s">
        <v>1406</v>
      </c>
      <c r="N310">
        <v>10</v>
      </c>
      <c r="O310" t="s">
        <v>2</v>
      </c>
      <c r="P310">
        <v>3654.4</v>
      </c>
      <c r="Q310">
        <v>36544</v>
      </c>
    </row>
    <row r="311" spans="1:17" x14ac:dyDescent="0.35">
      <c r="A311" t="s">
        <v>1407</v>
      </c>
      <c r="B311" t="str">
        <f t="shared" si="16"/>
        <v>DAMPER ACTUATOR</v>
      </c>
      <c r="C311" t="str">
        <f t="shared" si="17"/>
        <v xml:space="preserve"> S0324-2POS-SW1</v>
      </c>
      <c r="D311" t="str">
        <f t="shared" si="18"/>
        <v>2</v>
      </c>
      <c r="E311" t="s">
        <v>1839</v>
      </c>
      <c r="F311" t="s">
        <v>2307</v>
      </c>
      <c r="G311" t="s">
        <v>1990</v>
      </c>
      <c r="H311" t="str">
        <f t="shared" si="19"/>
        <v>S0324-2POS-SW1</v>
      </c>
      <c r="M311" t="s">
        <v>1408</v>
      </c>
      <c r="N311">
        <v>2</v>
      </c>
      <c r="O311" t="s">
        <v>2</v>
      </c>
      <c r="P311">
        <v>18182.5</v>
      </c>
      <c r="Q311">
        <v>36365</v>
      </c>
    </row>
    <row r="312" spans="1:17" x14ac:dyDescent="0.35">
      <c r="A312" t="s">
        <v>1409</v>
      </c>
      <c r="B312" t="str">
        <f t="shared" si="16"/>
        <v>D 20.571.02 T</v>
      </c>
      <c r="C312" t="str">
        <f t="shared" si="17"/>
        <v xml:space="preserve"> 171111</v>
      </c>
      <c r="D312" t="str">
        <f t="shared" si="18"/>
        <v>60</v>
      </c>
      <c r="E312" t="s">
        <v>1840</v>
      </c>
      <c r="F312" t="s">
        <v>2308</v>
      </c>
      <c r="G312" t="s">
        <v>2309</v>
      </c>
      <c r="H312" t="str">
        <f t="shared" si="19"/>
        <v>171111</v>
      </c>
      <c r="M312" t="s">
        <v>1410</v>
      </c>
      <c r="N312">
        <v>60</v>
      </c>
      <c r="O312" t="s">
        <v>5</v>
      </c>
      <c r="P312">
        <v>598</v>
      </c>
      <c r="Q312">
        <v>35880</v>
      </c>
    </row>
    <row r="313" spans="1:17" x14ac:dyDescent="0.35">
      <c r="A313" t="s">
        <v>1411</v>
      </c>
      <c r="B313" t="str">
        <f t="shared" si="16"/>
        <v>UNIVERSAL ANALOGUE INPUT MODULE</v>
      </c>
      <c r="C313" t="str">
        <f t="shared" si="17"/>
        <v xml:space="preserve"> PCD3.W340</v>
      </c>
      <c r="D313" t="str">
        <f t="shared" si="18"/>
        <v>1</v>
      </c>
      <c r="E313" t="s">
        <v>1841</v>
      </c>
      <c r="F313" t="s">
        <v>2310</v>
      </c>
      <c r="G313" t="s">
        <v>1996</v>
      </c>
      <c r="H313" t="str">
        <f t="shared" si="19"/>
        <v>PCD3.W340</v>
      </c>
      <c r="M313" t="s">
        <v>1412</v>
      </c>
      <c r="N313">
        <v>1</v>
      </c>
      <c r="O313" t="s">
        <v>5</v>
      </c>
      <c r="P313">
        <v>35477</v>
      </c>
      <c r="Q313">
        <v>35477</v>
      </c>
    </row>
    <row r="314" spans="1:17" x14ac:dyDescent="0.35">
      <c r="A314" t="s">
        <v>1413</v>
      </c>
      <c r="B314" t="str">
        <f t="shared" si="16"/>
        <v>D 20.674.220.192</v>
      </c>
      <c r="C314" t="str">
        <f t="shared" si="17"/>
        <v xml:space="preserve"> 190891</v>
      </c>
      <c r="D314" t="str">
        <f t="shared" si="18"/>
        <v>3</v>
      </c>
      <c r="E314" t="s">
        <v>1842</v>
      </c>
      <c r="F314" t="s">
        <v>2311</v>
      </c>
      <c r="G314" t="s">
        <v>2026</v>
      </c>
      <c r="H314" t="str">
        <f t="shared" si="19"/>
        <v>190891</v>
      </c>
      <c r="M314" t="s">
        <v>1414</v>
      </c>
      <c r="N314">
        <v>3</v>
      </c>
      <c r="O314" t="s">
        <v>2</v>
      </c>
      <c r="P314">
        <v>11817.66666666667</v>
      </c>
      <c r="Q314">
        <v>35453</v>
      </c>
    </row>
    <row r="315" spans="1:17" x14ac:dyDescent="0.35">
      <c r="A315" t="s">
        <v>1415</v>
      </c>
      <c r="B315" t="str">
        <f t="shared" si="16"/>
        <v>3-WAY VALVE PN16 DN15 KVS2,5</v>
      </c>
      <c r="C315" t="str">
        <f t="shared" si="17"/>
        <v xml:space="preserve"> V5329A1004</v>
      </c>
      <c r="D315" t="str">
        <f t="shared" si="18"/>
        <v>1</v>
      </c>
      <c r="E315" t="s">
        <v>2312</v>
      </c>
      <c r="F315" t="s">
        <v>2313</v>
      </c>
      <c r="G315" t="s">
        <v>1996</v>
      </c>
      <c r="H315" t="str">
        <f t="shared" si="19"/>
        <v>V5329A1004</v>
      </c>
      <c r="M315" t="s">
        <v>1416</v>
      </c>
      <c r="N315">
        <v>1</v>
      </c>
      <c r="O315" t="s">
        <v>2</v>
      </c>
      <c r="P315">
        <v>35041.800000000003</v>
      </c>
      <c r="Q315">
        <v>35041.800000000003</v>
      </c>
    </row>
    <row r="316" spans="1:17" x14ac:dyDescent="0.35">
      <c r="A316" t="s">
        <v>1417</v>
      </c>
      <c r="B316" t="str">
        <f t="shared" si="16"/>
        <v>10NM 24V MODULATING SR DCA, 2 SWITCHES</v>
      </c>
      <c r="C316" t="str">
        <f t="shared" si="17"/>
        <v xml:space="preserve"> S10010-SW2</v>
      </c>
      <c r="D316" t="str">
        <f t="shared" si="18"/>
        <v>2</v>
      </c>
      <c r="E316" t="s">
        <v>2314</v>
      </c>
      <c r="F316" t="s">
        <v>2315</v>
      </c>
      <c r="G316" t="s">
        <v>1990</v>
      </c>
      <c r="H316" t="str">
        <f t="shared" si="19"/>
        <v>S10010-SW2</v>
      </c>
      <c r="M316" t="s">
        <v>1418</v>
      </c>
      <c r="N316">
        <v>2</v>
      </c>
      <c r="O316" t="s">
        <v>2</v>
      </c>
      <c r="P316">
        <v>17428.5</v>
      </c>
      <c r="Q316">
        <v>34857</v>
      </c>
    </row>
    <row r="317" spans="1:17" x14ac:dyDescent="0.35">
      <c r="A317" t="s">
        <v>1419</v>
      </c>
      <c r="B317" t="str">
        <f t="shared" si="16"/>
        <v>DAMPER ACTUATOR 5NM 24V 3-PKT SCHALTER</v>
      </c>
      <c r="C317" t="str">
        <f t="shared" si="17"/>
        <v xml:space="preserve"> N0524-SW2</v>
      </c>
      <c r="D317" t="str">
        <f t="shared" si="18"/>
        <v>2</v>
      </c>
      <c r="E317" t="s">
        <v>1844</v>
      </c>
      <c r="F317" t="s">
        <v>2316</v>
      </c>
      <c r="G317" t="s">
        <v>1990</v>
      </c>
      <c r="H317" t="str">
        <f t="shared" si="19"/>
        <v>N0524-SW2</v>
      </c>
      <c r="M317" t="s">
        <v>1420</v>
      </c>
      <c r="N317">
        <v>2</v>
      </c>
      <c r="O317" t="s">
        <v>5</v>
      </c>
      <c r="P317">
        <v>16371.5</v>
      </c>
      <c r="Q317">
        <v>32743</v>
      </c>
    </row>
    <row r="318" spans="1:17" x14ac:dyDescent="0.35">
      <c r="A318" t="s">
        <v>1421</v>
      </c>
      <c r="B318" t="str">
        <f t="shared" si="16"/>
        <v>D 95.572.70.60</v>
      </c>
      <c r="C318" t="str">
        <f t="shared" si="17"/>
        <v xml:space="preserve"> 773211</v>
      </c>
      <c r="D318" t="str">
        <f t="shared" si="18"/>
        <v>22</v>
      </c>
      <c r="E318" t="s">
        <v>1845</v>
      </c>
      <c r="F318" t="s">
        <v>2317</v>
      </c>
      <c r="G318" t="s">
        <v>2056</v>
      </c>
      <c r="H318" t="str">
        <f t="shared" si="19"/>
        <v>773211</v>
      </c>
      <c r="M318" t="s">
        <v>1422</v>
      </c>
      <c r="N318">
        <v>22</v>
      </c>
      <c r="O318" t="s">
        <v>2</v>
      </c>
      <c r="P318">
        <v>1484.090909090909</v>
      </c>
      <c r="Q318">
        <v>32650</v>
      </c>
    </row>
    <row r="319" spans="1:17" x14ac:dyDescent="0.35">
      <c r="A319" t="s">
        <v>1423</v>
      </c>
      <c r="B319" t="str">
        <f t="shared" si="16"/>
        <v>Power Distribution FTA</v>
      </c>
      <c r="C319" t="str">
        <f t="shared" si="17"/>
        <v xml:space="preserve"> 7508002114</v>
      </c>
      <c r="D319" t="str">
        <f t="shared" si="18"/>
        <v>2</v>
      </c>
      <c r="E319" t="s">
        <v>1846</v>
      </c>
      <c r="F319" t="s">
        <v>2318</v>
      </c>
      <c r="G319" t="s">
        <v>1990</v>
      </c>
      <c r="H319" t="str">
        <f t="shared" si="19"/>
        <v>7508002114</v>
      </c>
      <c r="M319" t="s">
        <v>1424</v>
      </c>
      <c r="N319">
        <v>2</v>
      </c>
      <c r="O319" t="s">
        <v>5</v>
      </c>
      <c r="P319">
        <v>15610.375</v>
      </c>
      <c r="Q319">
        <v>31220.75</v>
      </c>
    </row>
    <row r="320" spans="1:17" x14ac:dyDescent="0.35">
      <c r="A320" t="s">
        <v>1425</v>
      </c>
      <c r="B320" t="str">
        <f t="shared" si="16"/>
        <v>Splice box</v>
      </c>
      <c r="C320" t="str">
        <f t="shared" si="17"/>
        <v xml:space="preserve"> TRAY-3</v>
      </c>
      <c r="D320" t="str">
        <f t="shared" si="18"/>
        <v>7</v>
      </c>
      <c r="E320" t="s">
        <v>1847</v>
      </c>
      <c r="F320" t="s">
        <v>2319</v>
      </c>
      <c r="G320" t="s">
        <v>2065</v>
      </c>
      <c r="H320" t="str">
        <f t="shared" si="19"/>
        <v>TRAY-3</v>
      </c>
      <c r="M320" t="s">
        <v>1426</v>
      </c>
      <c r="N320">
        <v>7</v>
      </c>
      <c r="O320" t="s">
        <v>2</v>
      </c>
      <c r="P320">
        <v>4255.8571428571431</v>
      </c>
      <c r="Q320">
        <v>29791</v>
      </c>
    </row>
    <row r="321" spans="1:17" x14ac:dyDescent="0.35">
      <c r="A321" t="s">
        <v>1427</v>
      </c>
      <c r="B321" t="str">
        <f t="shared" si="16"/>
        <v>D 20.673.222.192</v>
      </c>
      <c r="C321" t="str">
        <f t="shared" si="17"/>
        <v xml:space="preserve"> 189091</v>
      </c>
      <c r="D321" t="str">
        <f t="shared" si="18"/>
        <v>3</v>
      </c>
      <c r="E321" t="s">
        <v>1813</v>
      </c>
      <c r="F321" t="s">
        <v>2275</v>
      </c>
      <c r="G321" t="s">
        <v>2026</v>
      </c>
      <c r="H321" t="str">
        <f t="shared" si="19"/>
        <v>189091</v>
      </c>
      <c r="M321" t="s">
        <v>1354</v>
      </c>
      <c r="N321">
        <v>3</v>
      </c>
      <c r="O321" t="s">
        <v>2</v>
      </c>
      <c r="P321">
        <v>9291.2999999999993</v>
      </c>
      <c r="Q321">
        <v>27873.9</v>
      </c>
    </row>
    <row r="322" spans="1:17" x14ac:dyDescent="0.35">
      <c r="A322" t="s">
        <v>1428</v>
      </c>
      <c r="B322" t="str">
        <f t="shared" si="16"/>
        <v>Horizontal angle, 100x80mm</v>
      </c>
      <c r="C322" t="str">
        <f t="shared" si="17"/>
        <v xml:space="preserve"> 36022-RU</v>
      </c>
      <c r="D322" t="str">
        <f t="shared" si="18"/>
        <v>11</v>
      </c>
      <c r="E322" t="s">
        <v>2320</v>
      </c>
      <c r="F322" t="s">
        <v>2321</v>
      </c>
      <c r="G322" t="s">
        <v>1972</v>
      </c>
      <c r="H322" t="str">
        <f t="shared" si="19"/>
        <v>36022-RU</v>
      </c>
      <c r="M322" t="s">
        <v>1429</v>
      </c>
      <c r="N322">
        <v>11</v>
      </c>
      <c r="O322" t="s">
        <v>5</v>
      </c>
      <c r="P322">
        <v>2507.272727272727</v>
      </c>
      <c r="Q322">
        <v>27580</v>
      </c>
    </row>
    <row r="323" spans="1:17" x14ac:dyDescent="0.35">
      <c r="A323" t="s">
        <v>1430</v>
      </c>
      <c r="B323" t="str">
        <f t="shared" ref="B323:B386" si="20">LEFT(A323,FIND("модель/артикул",A323)-3)</f>
        <v>D 20.671.243.022</v>
      </c>
      <c r="C323" t="str">
        <f t="shared" ref="C323:C386" si="21">MID(A323,FIND("модель/артикул",A323)+14,FIND("кол-во",A323)-FIND("модель/артикул",A323)-16)</f>
        <v xml:space="preserve"> 185491</v>
      </c>
      <c r="D323" t="str">
        <f t="shared" ref="D323:D386" si="22">MID(A323,FIND("кол-во",A323)+7,LEN(A323))</f>
        <v>14</v>
      </c>
      <c r="E323" t="s">
        <v>1848</v>
      </c>
      <c r="F323" t="s">
        <v>2322</v>
      </c>
      <c r="G323" t="s">
        <v>2323</v>
      </c>
      <c r="H323" t="str">
        <f t="shared" ref="H323:H386" si="23">TRIM(F323)</f>
        <v>185491</v>
      </c>
      <c r="M323" t="s">
        <v>1431</v>
      </c>
      <c r="N323">
        <v>14</v>
      </c>
      <c r="O323" t="s">
        <v>2</v>
      </c>
      <c r="P323">
        <v>1917.1428571428571</v>
      </c>
      <c r="Q323">
        <v>26840</v>
      </c>
    </row>
    <row r="324" spans="1:17" x14ac:dyDescent="0.35">
      <c r="A324" t="s">
        <v>1432</v>
      </c>
      <c r="B324" t="str">
        <f t="shared" si="20"/>
        <v>DAMPER ACTUATOR</v>
      </c>
      <c r="C324" t="str">
        <f t="shared" si="21"/>
        <v xml:space="preserve"> S05230-2POS</v>
      </c>
      <c r="D324" t="str">
        <f t="shared" si="22"/>
        <v>2</v>
      </c>
      <c r="E324" t="s">
        <v>1839</v>
      </c>
      <c r="F324" t="s">
        <v>2324</v>
      </c>
      <c r="G324" t="s">
        <v>1990</v>
      </c>
      <c r="H324" t="str">
        <f t="shared" si="23"/>
        <v>S05230-2POS</v>
      </c>
      <c r="M324" t="s">
        <v>1433</v>
      </c>
      <c r="N324">
        <v>2</v>
      </c>
      <c r="O324" t="s">
        <v>2</v>
      </c>
      <c r="P324">
        <v>12467</v>
      </c>
      <c r="Q324">
        <v>24934</v>
      </c>
    </row>
    <row r="325" spans="1:17" x14ac:dyDescent="0.35">
      <c r="A325" t="s">
        <v>1434</v>
      </c>
      <c r="B325" t="str">
        <f t="shared" si="20"/>
        <v>Power Supply</v>
      </c>
      <c r="C325" t="str">
        <f t="shared" si="21"/>
        <v xml:space="preserve"> F750E-S0</v>
      </c>
      <c r="D325" t="str">
        <f t="shared" si="22"/>
        <v>2</v>
      </c>
      <c r="E325" t="s">
        <v>1849</v>
      </c>
      <c r="F325" t="s">
        <v>2325</v>
      </c>
      <c r="G325" t="s">
        <v>1990</v>
      </c>
      <c r="H325" t="str">
        <f t="shared" si="23"/>
        <v>F750E-S0</v>
      </c>
      <c r="M325" t="s">
        <v>1435</v>
      </c>
      <c r="N325">
        <v>2</v>
      </c>
      <c r="O325" t="s">
        <v>5</v>
      </c>
      <c r="P325">
        <v>12432.5</v>
      </c>
      <c r="Q325">
        <v>24865</v>
      </c>
    </row>
    <row r="326" spans="1:17" x14ac:dyDescent="0.35">
      <c r="A326" t="s">
        <v>1436</v>
      </c>
      <c r="B326" t="str">
        <f t="shared" si="20"/>
        <v>3WV PN16 DN20 KVS4.0 ON-OFF</v>
      </c>
      <c r="C326" t="str">
        <f t="shared" si="21"/>
        <v xml:space="preserve"> VSOF-320-4.0</v>
      </c>
      <c r="D326" t="str">
        <f t="shared" si="22"/>
        <v>1</v>
      </c>
      <c r="E326" t="s">
        <v>1850</v>
      </c>
      <c r="F326" t="s">
        <v>2326</v>
      </c>
      <c r="G326" t="s">
        <v>1996</v>
      </c>
      <c r="H326" t="str">
        <f t="shared" si="23"/>
        <v>VSOF-320-4.0</v>
      </c>
      <c r="M326" t="s">
        <v>1437</v>
      </c>
      <c r="N326">
        <v>1</v>
      </c>
      <c r="O326" t="s">
        <v>2</v>
      </c>
      <c r="P326">
        <v>24588</v>
      </c>
      <c r="Q326">
        <v>24588</v>
      </c>
    </row>
    <row r="327" spans="1:17" x14ac:dyDescent="0.35">
      <c r="A327" t="s">
        <v>1438</v>
      </c>
      <c r="B327" t="str">
        <f t="shared" si="20"/>
        <v>CABLE IMMERSION SENSOR PT1000, 2M</v>
      </c>
      <c r="C327" t="str">
        <f t="shared" si="21"/>
        <v xml:space="preserve"> KTF00-65-2M</v>
      </c>
      <c r="D327" t="str">
        <f t="shared" si="22"/>
        <v>4</v>
      </c>
      <c r="E327" t="s">
        <v>2327</v>
      </c>
      <c r="F327" t="s">
        <v>2328</v>
      </c>
      <c r="G327" t="s">
        <v>2040</v>
      </c>
      <c r="H327" t="str">
        <f t="shared" si="23"/>
        <v>KTF00-65-2M</v>
      </c>
      <c r="M327" t="s">
        <v>1439</v>
      </c>
      <c r="N327">
        <v>4</v>
      </c>
      <c r="O327" t="s">
        <v>5</v>
      </c>
      <c r="P327">
        <v>5953.8</v>
      </c>
      <c r="Q327">
        <v>23815.200000000001</v>
      </c>
    </row>
    <row r="328" spans="1:17" x14ac:dyDescent="0.35">
      <c r="A328" t="s">
        <v>1440</v>
      </c>
      <c r="B328" t="str">
        <f t="shared" si="20"/>
        <v>D 20.674.240.192</v>
      </c>
      <c r="C328" t="str">
        <f t="shared" si="21"/>
        <v xml:space="preserve"> 191591</v>
      </c>
      <c r="D328" t="str">
        <f t="shared" si="22"/>
        <v>3</v>
      </c>
      <c r="E328" t="s">
        <v>1851</v>
      </c>
      <c r="F328" t="s">
        <v>2329</v>
      </c>
      <c r="G328" t="s">
        <v>2026</v>
      </c>
      <c r="H328" t="str">
        <f t="shared" si="23"/>
        <v>191591</v>
      </c>
      <c r="M328" t="s">
        <v>1441</v>
      </c>
      <c r="N328">
        <v>3</v>
      </c>
      <c r="O328" t="s">
        <v>2</v>
      </c>
      <c r="P328">
        <v>7521.666666666667</v>
      </c>
      <c r="Q328">
        <v>22565</v>
      </c>
    </row>
    <row r="329" spans="1:17" x14ac:dyDescent="0.35">
      <c r="A329" t="s">
        <v>1442</v>
      </c>
      <c r="B329" t="str">
        <f t="shared" si="20"/>
        <v>DAMPER ACTUATOR 34NM 230V FLOATING</v>
      </c>
      <c r="C329" t="str">
        <f t="shared" si="21"/>
        <v xml:space="preserve"> N34230</v>
      </c>
      <c r="D329" t="str">
        <f t="shared" si="22"/>
        <v>1</v>
      </c>
      <c r="E329" t="s">
        <v>1852</v>
      </c>
      <c r="F329" t="s">
        <v>2330</v>
      </c>
      <c r="G329" t="s">
        <v>1996</v>
      </c>
      <c r="H329" t="str">
        <f t="shared" si="23"/>
        <v>N34230</v>
      </c>
      <c r="M329" t="s">
        <v>1443</v>
      </c>
      <c r="N329">
        <v>1</v>
      </c>
      <c r="O329" t="s">
        <v>5</v>
      </c>
      <c r="P329">
        <v>21412</v>
      </c>
      <c r="Q329">
        <v>21412</v>
      </c>
    </row>
    <row r="330" spans="1:17" x14ac:dyDescent="0.35">
      <c r="A330" t="s">
        <v>1444</v>
      </c>
      <c r="B330" t="str">
        <f t="shared" si="20"/>
        <v>DTI6 DP SENSOR 0-6BAR 10-30VDC 4-20MA</v>
      </c>
      <c r="C330" t="str">
        <f t="shared" si="21"/>
        <v xml:space="preserve"> DTI6</v>
      </c>
      <c r="D330" t="str">
        <f t="shared" si="22"/>
        <v>3</v>
      </c>
      <c r="E330" t="s">
        <v>1853</v>
      </c>
      <c r="F330" t="s">
        <v>2331</v>
      </c>
      <c r="G330" t="s">
        <v>2026</v>
      </c>
      <c r="H330" t="str">
        <f t="shared" si="23"/>
        <v>DTI6</v>
      </c>
      <c r="M330" t="s">
        <v>1445</v>
      </c>
      <c r="N330">
        <v>3</v>
      </c>
      <c r="O330" t="s">
        <v>2</v>
      </c>
      <c r="P330">
        <v>7096</v>
      </c>
      <c r="Q330">
        <v>21288</v>
      </c>
    </row>
    <row r="331" spans="1:17" x14ac:dyDescent="0.35">
      <c r="A331" t="s">
        <v>1446</v>
      </c>
      <c r="B331" t="str">
        <f t="shared" si="20"/>
        <v>FLAME SWITCH, UV, 115/230VAC</v>
      </c>
      <c r="C331" t="str">
        <f t="shared" si="21"/>
        <v xml:space="preserve"> R4343E1048-ST005</v>
      </c>
      <c r="D331" t="str">
        <f t="shared" si="22"/>
        <v>2</v>
      </c>
      <c r="E331" t="s">
        <v>2332</v>
      </c>
      <c r="F331" t="s">
        <v>2333</v>
      </c>
      <c r="G331" t="s">
        <v>1990</v>
      </c>
      <c r="H331" t="str">
        <f t="shared" si="23"/>
        <v>R4343E1048-ST005</v>
      </c>
      <c r="M331" t="s">
        <v>1447</v>
      </c>
      <c r="N331">
        <v>2</v>
      </c>
      <c r="O331" t="s">
        <v>5</v>
      </c>
      <c r="P331">
        <v>10571.5</v>
      </c>
      <c r="Q331">
        <v>21143</v>
      </c>
    </row>
    <row r="332" spans="1:17" x14ac:dyDescent="0.35">
      <c r="A332" t="s">
        <v>1448</v>
      </c>
      <c r="B332" t="str">
        <f t="shared" si="20"/>
        <v>D 20.610.70 TV</v>
      </c>
      <c r="C332" t="str">
        <f t="shared" si="21"/>
        <v xml:space="preserve"> 153711</v>
      </c>
      <c r="D332" t="str">
        <f t="shared" si="22"/>
        <v>20</v>
      </c>
      <c r="E332" t="s">
        <v>1854</v>
      </c>
      <c r="F332" t="s">
        <v>2334</v>
      </c>
      <c r="G332" t="s">
        <v>2078</v>
      </c>
      <c r="H332" t="str">
        <f t="shared" si="23"/>
        <v>153711</v>
      </c>
      <c r="M332" t="s">
        <v>1449</v>
      </c>
      <c r="N332">
        <v>20</v>
      </c>
      <c r="O332" t="s">
        <v>5</v>
      </c>
      <c r="P332">
        <v>1040.5999999999999</v>
      </c>
      <c r="Q332">
        <v>20812</v>
      </c>
    </row>
    <row r="333" spans="1:17" x14ac:dyDescent="0.35">
      <c r="A333" t="s">
        <v>1450</v>
      </c>
      <c r="B333" t="str">
        <f t="shared" si="20"/>
        <v>D 95.571.78</v>
      </c>
      <c r="C333" t="str">
        <f t="shared" si="21"/>
        <v xml:space="preserve"> 369111</v>
      </c>
      <c r="D333" t="str">
        <f t="shared" si="22"/>
        <v>40</v>
      </c>
      <c r="E333" t="s">
        <v>1855</v>
      </c>
      <c r="F333" t="s">
        <v>2335</v>
      </c>
      <c r="G333" t="s">
        <v>2235</v>
      </c>
      <c r="H333" t="str">
        <f t="shared" si="23"/>
        <v>369111</v>
      </c>
      <c r="M333" t="s">
        <v>1451</v>
      </c>
      <c r="N333">
        <v>40</v>
      </c>
      <c r="O333" t="s">
        <v>2</v>
      </c>
      <c r="P333">
        <v>517.70000000000005</v>
      </c>
      <c r="Q333">
        <v>20708</v>
      </c>
    </row>
    <row r="334" spans="1:17" x14ac:dyDescent="0.35">
      <c r="A334" t="s">
        <v>1452</v>
      </c>
      <c r="B334" t="str">
        <f t="shared" si="20"/>
        <v>D 20.534.702</v>
      </c>
      <c r="C334" t="str">
        <f t="shared" si="21"/>
        <v xml:space="preserve"> 52811</v>
      </c>
      <c r="D334" t="str">
        <f t="shared" si="22"/>
        <v>10</v>
      </c>
      <c r="E334" t="s">
        <v>1856</v>
      </c>
      <c r="F334" t="s">
        <v>2336</v>
      </c>
      <c r="G334" t="s">
        <v>2050</v>
      </c>
      <c r="H334" t="str">
        <f t="shared" si="23"/>
        <v>52811</v>
      </c>
      <c r="M334" t="s">
        <v>1453</v>
      </c>
      <c r="N334">
        <v>10</v>
      </c>
      <c r="O334" t="s">
        <v>2</v>
      </c>
      <c r="P334">
        <v>2021</v>
      </c>
      <c r="Q334">
        <v>20210</v>
      </c>
    </row>
    <row r="335" spans="1:17" x14ac:dyDescent="0.35">
      <c r="A335" t="s">
        <v>1454</v>
      </c>
      <c r="B335" t="str">
        <f t="shared" si="20"/>
        <v>D 20.534.022</v>
      </c>
      <c r="C335" t="str">
        <f t="shared" si="21"/>
        <v xml:space="preserve"> 22811</v>
      </c>
      <c r="D335" t="str">
        <f t="shared" si="22"/>
        <v>10</v>
      </c>
      <c r="E335" t="s">
        <v>1857</v>
      </c>
      <c r="F335" t="s">
        <v>2337</v>
      </c>
      <c r="G335" t="s">
        <v>2050</v>
      </c>
      <c r="H335" t="str">
        <f t="shared" si="23"/>
        <v>22811</v>
      </c>
      <c r="M335" t="s">
        <v>1455</v>
      </c>
      <c r="N335">
        <v>10</v>
      </c>
      <c r="O335" t="s">
        <v>2</v>
      </c>
      <c r="P335">
        <v>2021</v>
      </c>
      <c r="Q335">
        <v>20210</v>
      </c>
    </row>
    <row r="336" spans="1:17" x14ac:dyDescent="0.35">
      <c r="A336" t="s">
        <v>1456</v>
      </c>
      <c r="B336" t="str">
        <f t="shared" si="20"/>
        <v>D 20.545.21</v>
      </c>
      <c r="C336" t="str">
        <f t="shared" si="21"/>
        <v xml:space="preserve"> 105411</v>
      </c>
      <c r="D336" t="str">
        <f t="shared" si="22"/>
        <v>30</v>
      </c>
      <c r="E336" t="s">
        <v>1858</v>
      </c>
      <c r="F336" t="s">
        <v>2338</v>
      </c>
      <c r="G336" t="s">
        <v>2000</v>
      </c>
      <c r="H336" t="str">
        <f t="shared" si="23"/>
        <v>105411</v>
      </c>
      <c r="M336" t="s">
        <v>1457</v>
      </c>
      <c r="N336">
        <v>30</v>
      </c>
      <c r="O336" t="s">
        <v>2</v>
      </c>
      <c r="P336">
        <v>669.6</v>
      </c>
      <c r="Q336">
        <v>20088</v>
      </c>
    </row>
    <row r="337" spans="1:17" x14ac:dyDescent="0.35">
      <c r="A337" t="s">
        <v>1458</v>
      </c>
      <c r="B337" t="str">
        <f t="shared" si="20"/>
        <v>D 20.607.022 FTR</v>
      </c>
      <c r="C337" t="str">
        <f t="shared" si="21"/>
        <v xml:space="preserve"> 940293</v>
      </c>
      <c r="D337" t="str">
        <f t="shared" si="22"/>
        <v>15</v>
      </c>
      <c r="E337" t="s">
        <v>1859</v>
      </c>
      <c r="F337" t="s">
        <v>2339</v>
      </c>
      <c r="G337" t="s">
        <v>1975</v>
      </c>
      <c r="H337" t="str">
        <f t="shared" si="23"/>
        <v>940293</v>
      </c>
      <c r="M337" t="s">
        <v>1459</v>
      </c>
      <c r="N337">
        <v>15</v>
      </c>
      <c r="O337" t="s">
        <v>2</v>
      </c>
      <c r="P337">
        <v>1295.5333333333331</v>
      </c>
      <c r="Q337">
        <v>19433</v>
      </c>
    </row>
    <row r="338" spans="1:17" x14ac:dyDescent="0.35">
      <c r="A338" t="s">
        <v>1460</v>
      </c>
      <c r="B338" t="str">
        <f t="shared" si="20"/>
        <v>Horizontal angle, 200x80mm</v>
      </c>
      <c r="C338" t="str">
        <f t="shared" si="21"/>
        <v xml:space="preserve"> 36024-RU</v>
      </c>
      <c r="D338" t="str">
        <f t="shared" si="22"/>
        <v>10</v>
      </c>
      <c r="E338" t="s">
        <v>2340</v>
      </c>
      <c r="F338" t="s">
        <v>2341</v>
      </c>
      <c r="G338" t="s">
        <v>2050</v>
      </c>
      <c r="H338" t="str">
        <f t="shared" si="23"/>
        <v>36024-RU</v>
      </c>
      <c r="M338" t="s">
        <v>1461</v>
      </c>
      <c r="N338">
        <v>10</v>
      </c>
      <c r="O338" t="s">
        <v>5</v>
      </c>
      <c r="P338">
        <v>1793.5</v>
      </c>
      <c r="Q338">
        <v>17935</v>
      </c>
    </row>
    <row r="339" spans="1:17" x14ac:dyDescent="0.35">
      <c r="A339" t="s">
        <v>1462</v>
      </c>
      <c r="B339" t="str">
        <f t="shared" si="20"/>
        <v>Power supply 230 VAC / 24 VDC</v>
      </c>
      <c r="C339" t="str">
        <f t="shared" si="21"/>
        <v xml:space="preserve"> PCD7.L500</v>
      </c>
      <c r="D339" t="str">
        <f t="shared" si="22"/>
        <v>1</v>
      </c>
      <c r="E339" t="s">
        <v>1860</v>
      </c>
      <c r="F339" t="s">
        <v>2342</v>
      </c>
      <c r="G339" t="s">
        <v>1996</v>
      </c>
      <c r="H339" t="str">
        <f t="shared" si="23"/>
        <v>PCD7.L500</v>
      </c>
      <c r="M339" t="s">
        <v>1463</v>
      </c>
      <c r="N339">
        <v>1</v>
      </c>
      <c r="O339" t="s">
        <v>5</v>
      </c>
      <c r="P339">
        <v>17600</v>
      </c>
      <c r="Q339">
        <v>17600</v>
      </c>
    </row>
    <row r="340" spans="1:17" x14ac:dyDescent="0.35">
      <c r="A340" t="s">
        <v>1464</v>
      </c>
      <c r="B340" t="str">
        <f t="shared" si="20"/>
        <v>Предохранитель плавкий, Fuse, 20A</v>
      </c>
      <c r="C340" t="str">
        <f t="shared" si="21"/>
        <v xml:space="preserve"> FUSE-20A-5X20</v>
      </c>
      <c r="D340" t="str">
        <f t="shared" si="22"/>
        <v>30</v>
      </c>
      <c r="E340" t="s">
        <v>2343</v>
      </c>
      <c r="F340" t="s">
        <v>2344</v>
      </c>
      <c r="G340" t="s">
        <v>2000</v>
      </c>
      <c r="H340" t="str">
        <f t="shared" si="23"/>
        <v>FUSE-20A-5X20</v>
      </c>
      <c r="M340" t="s">
        <v>1465</v>
      </c>
      <c r="N340">
        <v>30</v>
      </c>
      <c r="O340" t="s">
        <v>5</v>
      </c>
      <c r="P340">
        <v>584.0333333333333</v>
      </c>
      <c r="Q340">
        <v>17521</v>
      </c>
    </row>
    <row r="341" spans="1:17" x14ac:dyDescent="0.35">
      <c r="A341" t="s">
        <v>1466</v>
      </c>
      <c r="B341" t="str">
        <f t="shared" si="20"/>
        <v>D 433 HAB O.A</v>
      </c>
      <c r="C341" t="str">
        <f t="shared" si="21"/>
        <v xml:space="preserve"> 210213</v>
      </c>
      <c r="D341" t="str">
        <f t="shared" si="22"/>
        <v>2</v>
      </c>
      <c r="E341" t="s">
        <v>1861</v>
      </c>
      <c r="F341" t="s">
        <v>2345</v>
      </c>
      <c r="G341" t="s">
        <v>1990</v>
      </c>
      <c r="H341" t="str">
        <f t="shared" si="23"/>
        <v>210213</v>
      </c>
      <c r="M341" t="s">
        <v>1467</v>
      </c>
      <c r="N341">
        <v>2</v>
      </c>
      <c r="O341" t="s">
        <v>2</v>
      </c>
      <c r="P341">
        <v>8582.5</v>
      </c>
      <c r="Q341">
        <v>17165</v>
      </c>
    </row>
    <row r="342" spans="1:17" x14ac:dyDescent="0.35">
      <c r="A342" t="s">
        <v>1468</v>
      </c>
      <c r="B342" t="str">
        <f t="shared" si="20"/>
        <v>D 95.572.03</v>
      </c>
      <c r="C342" t="str">
        <f t="shared" si="21"/>
        <v xml:space="preserve"> 829211</v>
      </c>
      <c r="D342" t="str">
        <f t="shared" si="22"/>
        <v>62</v>
      </c>
      <c r="E342" t="s">
        <v>1862</v>
      </c>
      <c r="F342" t="s">
        <v>2346</v>
      </c>
      <c r="G342" t="s">
        <v>2347</v>
      </c>
      <c r="H342" t="str">
        <f t="shared" si="23"/>
        <v>829211</v>
      </c>
      <c r="M342" t="s">
        <v>1469</v>
      </c>
      <c r="N342">
        <v>62</v>
      </c>
      <c r="O342" t="s">
        <v>2</v>
      </c>
      <c r="P342">
        <v>273.5</v>
      </c>
      <c r="Q342">
        <v>16957</v>
      </c>
    </row>
    <row r="343" spans="1:17" x14ac:dyDescent="0.35">
      <c r="A343" t="s">
        <v>1470</v>
      </c>
      <c r="B343" t="str">
        <f t="shared" si="20"/>
        <v>T-coupler 400x80mm</v>
      </c>
      <c r="C343" t="str">
        <f t="shared" si="21"/>
        <v xml:space="preserve"> 36146-RU</v>
      </c>
      <c r="D343" t="str">
        <f t="shared" si="22"/>
        <v>4</v>
      </c>
      <c r="E343" t="s">
        <v>1863</v>
      </c>
      <c r="F343" t="s">
        <v>2348</v>
      </c>
      <c r="G343" t="s">
        <v>2040</v>
      </c>
      <c r="H343" t="str">
        <f t="shared" si="23"/>
        <v>36146-RU</v>
      </c>
      <c r="M343" t="s">
        <v>1471</v>
      </c>
      <c r="N343">
        <v>4</v>
      </c>
      <c r="O343" t="s">
        <v>5</v>
      </c>
      <c r="P343">
        <v>3951.25</v>
      </c>
      <c r="Q343">
        <v>15805</v>
      </c>
    </row>
    <row r="344" spans="1:17" x14ac:dyDescent="0.35">
      <c r="A344" t="s">
        <v>1472</v>
      </c>
      <c r="B344" t="str">
        <f t="shared" si="20"/>
        <v>D 20.674.242.702</v>
      </c>
      <c r="C344" t="str">
        <f t="shared" si="21"/>
        <v xml:space="preserve"> 191791</v>
      </c>
      <c r="D344" t="str">
        <f t="shared" si="22"/>
        <v>2</v>
      </c>
      <c r="E344" t="s">
        <v>1864</v>
      </c>
      <c r="F344" t="s">
        <v>2349</v>
      </c>
      <c r="G344" t="s">
        <v>1990</v>
      </c>
      <c r="H344" t="str">
        <f t="shared" si="23"/>
        <v>191791</v>
      </c>
      <c r="M344" t="s">
        <v>1473</v>
      </c>
      <c r="N344">
        <v>2</v>
      </c>
      <c r="O344" t="s">
        <v>5</v>
      </c>
      <c r="P344">
        <v>7589</v>
      </c>
      <c r="Q344">
        <v>15178</v>
      </c>
    </row>
    <row r="345" spans="1:17" x14ac:dyDescent="0.35">
      <c r="A345" t="s">
        <v>1474</v>
      </c>
      <c r="B345" t="str">
        <f t="shared" si="20"/>
        <v>Видеокарта NVIDIA Quadro</v>
      </c>
      <c r="C345" t="str">
        <f t="shared" si="21"/>
        <v xml:space="preserve"> P600</v>
      </c>
      <c r="D345" t="str">
        <f t="shared" si="22"/>
        <v>4</v>
      </c>
      <c r="E345" t="s">
        <v>1822</v>
      </c>
      <c r="F345" t="s">
        <v>2350</v>
      </c>
      <c r="G345" t="s">
        <v>2040</v>
      </c>
      <c r="H345" t="str">
        <f t="shared" si="23"/>
        <v>P600</v>
      </c>
      <c r="M345" t="s">
        <v>1475</v>
      </c>
      <c r="N345">
        <v>4</v>
      </c>
      <c r="O345" t="s">
        <v>5</v>
      </c>
      <c r="P345">
        <v>3749.75</v>
      </c>
      <c r="Q345">
        <v>14999</v>
      </c>
    </row>
    <row r="346" spans="1:17" x14ac:dyDescent="0.35">
      <c r="A346" t="s">
        <v>1476</v>
      </c>
      <c r="B346" t="str">
        <f t="shared" si="20"/>
        <v>6pol Socket H07RN Cable 2,5mm» ... m</v>
      </c>
      <c r="C346" t="str">
        <f t="shared" si="21"/>
        <v xml:space="preserve"> 272369098</v>
      </c>
      <c r="D346" t="str">
        <f t="shared" si="22"/>
        <v>24</v>
      </c>
      <c r="E346" t="s">
        <v>2351</v>
      </c>
      <c r="F346" t="s">
        <v>2352</v>
      </c>
      <c r="G346" t="s">
        <v>2353</v>
      </c>
      <c r="H346" t="str">
        <f t="shared" si="23"/>
        <v>272369098</v>
      </c>
      <c r="M346" t="s">
        <v>1477</v>
      </c>
      <c r="N346">
        <v>24</v>
      </c>
      <c r="O346" t="s">
        <v>2</v>
      </c>
      <c r="P346">
        <v>609.33333333333337</v>
      </c>
      <c r="Q346">
        <v>14624</v>
      </c>
    </row>
    <row r="347" spans="1:17" x14ac:dyDescent="0.35">
      <c r="A347" t="s">
        <v>1478</v>
      </c>
      <c r="B347" t="str">
        <f t="shared" si="20"/>
        <v>D 20.675.022 T</v>
      </c>
      <c r="C347" t="str">
        <f t="shared" si="21"/>
        <v xml:space="preserve"> 20511</v>
      </c>
      <c r="D347" t="str">
        <f t="shared" si="22"/>
        <v>4</v>
      </c>
      <c r="E347" t="s">
        <v>1865</v>
      </c>
      <c r="F347" t="s">
        <v>2354</v>
      </c>
      <c r="G347" t="s">
        <v>2040</v>
      </c>
      <c r="H347" t="str">
        <f t="shared" si="23"/>
        <v>20511</v>
      </c>
      <c r="M347" t="s">
        <v>1479</v>
      </c>
      <c r="N347">
        <v>4</v>
      </c>
      <c r="O347" t="s">
        <v>2</v>
      </c>
      <c r="P347">
        <v>3654.5</v>
      </c>
      <c r="Q347">
        <v>14618</v>
      </c>
    </row>
    <row r="348" spans="1:17" x14ac:dyDescent="0.35">
      <c r="A348" t="s">
        <v>1480</v>
      </c>
      <c r="B348" t="str">
        <f t="shared" si="20"/>
        <v>Four unit rack mounting bracket for MC p</v>
      </c>
      <c r="C348" t="str">
        <f t="shared" si="21"/>
        <v xml:space="preserve"> AT-TRAY4</v>
      </c>
      <c r="D348" t="str">
        <f t="shared" si="22"/>
        <v>2</v>
      </c>
      <c r="E348" t="s">
        <v>1866</v>
      </c>
      <c r="F348" t="s">
        <v>2355</v>
      </c>
      <c r="G348" t="s">
        <v>1990</v>
      </c>
      <c r="H348" t="str">
        <f t="shared" si="23"/>
        <v>AT-TRAY4</v>
      </c>
      <c r="M348" t="s">
        <v>1481</v>
      </c>
      <c r="N348">
        <v>2</v>
      </c>
      <c r="O348" t="s">
        <v>5</v>
      </c>
      <c r="P348">
        <v>7242.5</v>
      </c>
      <c r="Q348">
        <v>14485</v>
      </c>
    </row>
    <row r="349" spans="1:17" x14ac:dyDescent="0.35">
      <c r="A349" t="s">
        <v>1482</v>
      </c>
      <c r="B349" t="str">
        <f t="shared" si="20"/>
        <v>Crossover coupler, 400x80mm</v>
      </c>
      <c r="C349" t="str">
        <f t="shared" si="21"/>
        <v xml:space="preserve"> 36206-RU</v>
      </c>
      <c r="D349" t="str">
        <f t="shared" si="22"/>
        <v>3</v>
      </c>
      <c r="E349" t="s">
        <v>2356</v>
      </c>
      <c r="F349" t="s">
        <v>2357</v>
      </c>
      <c r="G349" t="s">
        <v>2026</v>
      </c>
      <c r="H349" t="str">
        <f t="shared" si="23"/>
        <v>36206-RU</v>
      </c>
      <c r="M349" t="s">
        <v>1483</v>
      </c>
      <c r="N349">
        <v>3</v>
      </c>
      <c r="O349" t="s">
        <v>5</v>
      </c>
      <c r="P349">
        <v>4746</v>
      </c>
      <c r="Q349">
        <v>14238</v>
      </c>
    </row>
    <row r="350" spans="1:17" x14ac:dyDescent="0.35">
      <c r="A350" t="s">
        <v>1484</v>
      </c>
      <c r="B350" t="str">
        <f t="shared" si="20"/>
        <v>D 20.677.702-Z</v>
      </c>
      <c r="C350" t="str">
        <f t="shared" si="21"/>
        <v xml:space="preserve"> 57511</v>
      </c>
      <c r="D350" t="str">
        <f t="shared" si="22"/>
        <v>10</v>
      </c>
      <c r="E350" t="s">
        <v>1867</v>
      </c>
      <c r="F350" t="s">
        <v>2358</v>
      </c>
      <c r="G350" t="s">
        <v>2050</v>
      </c>
      <c r="H350" t="str">
        <f t="shared" si="23"/>
        <v>57511</v>
      </c>
      <c r="M350" t="s">
        <v>1485</v>
      </c>
      <c r="N350">
        <v>10</v>
      </c>
      <c r="O350" t="s">
        <v>2</v>
      </c>
      <c r="P350">
        <v>1367.1</v>
      </c>
      <c r="Q350">
        <v>13671</v>
      </c>
    </row>
    <row r="351" spans="1:17" x14ac:dyDescent="0.35">
      <c r="A351" t="s">
        <v>1486</v>
      </c>
      <c r="B351" t="str">
        <f t="shared" si="20"/>
        <v>D 20.571.64 T</v>
      </c>
      <c r="C351" t="str">
        <f t="shared" si="21"/>
        <v xml:space="preserve"> 174111</v>
      </c>
      <c r="D351" t="str">
        <f t="shared" si="22"/>
        <v>24</v>
      </c>
      <c r="E351" t="s">
        <v>1868</v>
      </c>
      <c r="F351" t="s">
        <v>2359</v>
      </c>
      <c r="G351" t="s">
        <v>2353</v>
      </c>
      <c r="H351" t="str">
        <f t="shared" si="23"/>
        <v>174111</v>
      </c>
      <c r="M351" t="s">
        <v>1487</v>
      </c>
      <c r="N351">
        <v>24</v>
      </c>
      <c r="O351" t="s">
        <v>2</v>
      </c>
      <c r="P351">
        <v>561.58333333333337</v>
      </c>
      <c r="Q351">
        <v>13478</v>
      </c>
    </row>
    <row r="352" spans="1:17" x14ac:dyDescent="0.35">
      <c r="A352" t="s">
        <v>1488</v>
      </c>
      <c r="B352" t="str">
        <f t="shared" si="20"/>
        <v>D 20.545.192</v>
      </c>
      <c r="C352" t="str">
        <f t="shared" si="21"/>
        <v xml:space="preserve"> 39611</v>
      </c>
      <c r="D352" t="str">
        <f t="shared" si="22"/>
        <v>20</v>
      </c>
      <c r="E352" t="s">
        <v>1869</v>
      </c>
      <c r="F352" t="s">
        <v>2360</v>
      </c>
      <c r="G352" t="s">
        <v>2078</v>
      </c>
      <c r="H352" t="str">
        <f t="shared" si="23"/>
        <v>39611</v>
      </c>
      <c r="M352" t="s">
        <v>1489</v>
      </c>
      <c r="N352">
        <v>20</v>
      </c>
      <c r="O352" t="s">
        <v>2</v>
      </c>
      <c r="P352">
        <v>669.6</v>
      </c>
      <c r="Q352">
        <v>13392</v>
      </c>
    </row>
    <row r="353" spans="1:17" x14ac:dyDescent="0.35">
      <c r="A353" t="s">
        <v>1490</v>
      </c>
      <c r="B353" t="str">
        <f t="shared" si="20"/>
        <v>D 20.645.21</v>
      </c>
      <c r="C353" t="str">
        <f t="shared" si="21"/>
        <v xml:space="preserve"> 109411</v>
      </c>
      <c r="D353" t="str">
        <f t="shared" si="22"/>
        <v>20</v>
      </c>
      <c r="E353" t="s">
        <v>1870</v>
      </c>
      <c r="F353" t="s">
        <v>2361</v>
      </c>
      <c r="G353" t="s">
        <v>2078</v>
      </c>
      <c r="H353" t="str">
        <f t="shared" si="23"/>
        <v>109411</v>
      </c>
      <c r="M353" t="s">
        <v>1491</v>
      </c>
      <c r="N353">
        <v>20</v>
      </c>
      <c r="O353" t="s">
        <v>5</v>
      </c>
      <c r="P353">
        <v>669.6</v>
      </c>
      <c r="Q353">
        <v>13392</v>
      </c>
    </row>
    <row r="354" spans="1:17" x14ac:dyDescent="0.35">
      <c r="A354" t="s">
        <v>1492</v>
      </c>
      <c r="B354" t="str">
        <f t="shared" si="20"/>
        <v>Патч-корд волоконно-оптический (шнур) Hyperline FC-D2-50-SC/PR-SC/PR-H-20M-LSZ</v>
      </c>
      <c r="C354" t="str">
        <f t="shared" si="21"/>
        <v xml:space="preserve"> SC-SC</v>
      </c>
      <c r="D354" t="str">
        <f t="shared" si="22"/>
        <v>6</v>
      </c>
      <c r="E354" t="s">
        <v>1871</v>
      </c>
      <c r="F354" t="s">
        <v>2362</v>
      </c>
      <c r="G354" t="s">
        <v>1955</v>
      </c>
      <c r="H354" t="str">
        <f t="shared" si="23"/>
        <v>SC-SC</v>
      </c>
      <c r="M354" t="s">
        <v>1493</v>
      </c>
      <c r="N354">
        <v>6</v>
      </c>
      <c r="O354" t="s">
        <v>5</v>
      </c>
      <c r="P354">
        <v>2226.166666666667</v>
      </c>
      <c r="Q354">
        <v>13357</v>
      </c>
    </row>
    <row r="355" spans="1:17" x14ac:dyDescent="0.35">
      <c r="A355" t="s">
        <v>1494</v>
      </c>
      <c r="B355" t="str">
        <f t="shared" si="20"/>
        <v>D 20.810.70 HR</v>
      </c>
      <c r="C355" t="str">
        <f t="shared" si="21"/>
        <v xml:space="preserve"> 157413</v>
      </c>
      <c r="D355" t="str">
        <f t="shared" si="22"/>
        <v>10</v>
      </c>
      <c r="E355" t="s">
        <v>1872</v>
      </c>
      <c r="F355" t="s">
        <v>2363</v>
      </c>
      <c r="G355" t="s">
        <v>2050</v>
      </c>
      <c r="H355" t="str">
        <f t="shared" si="23"/>
        <v>157413</v>
      </c>
      <c r="M355" t="s">
        <v>1495</v>
      </c>
      <c r="N355">
        <v>10</v>
      </c>
      <c r="O355" t="s">
        <v>2</v>
      </c>
      <c r="P355">
        <v>1318.2</v>
      </c>
      <c r="Q355">
        <v>13182</v>
      </c>
    </row>
    <row r="356" spans="1:17" x14ac:dyDescent="0.35">
      <c r="A356" t="s">
        <v>1496</v>
      </c>
      <c r="B356" t="str">
        <f t="shared" si="20"/>
        <v>D 20.673.022 W MP3</v>
      </c>
      <c r="C356" t="str">
        <f t="shared" si="21"/>
        <v xml:space="preserve"> 179433</v>
      </c>
      <c r="D356" t="str">
        <f t="shared" si="22"/>
        <v>1</v>
      </c>
      <c r="E356" t="s">
        <v>1873</v>
      </c>
      <c r="F356" t="s">
        <v>2364</v>
      </c>
      <c r="G356" t="s">
        <v>1996</v>
      </c>
      <c r="H356" t="str">
        <f t="shared" si="23"/>
        <v>179433</v>
      </c>
      <c r="M356" t="s">
        <v>1497</v>
      </c>
      <c r="N356">
        <v>1</v>
      </c>
      <c r="O356" t="s">
        <v>2</v>
      </c>
      <c r="P356">
        <v>13032</v>
      </c>
      <c r="Q356">
        <v>13032</v>
      </c>
    </row>
    <row r="357" spans="1:17" x14ac:dyDescent="0.35">
      <c r="A357" t="s">
        <v>1498</v>
      </c>
      <c r="B357" t="str">
        <f t="shared" si="20"/>
        <v>D 20.674.222.022</v>
      </c>
      <c r="C357" t="str">
        <f t="shared" si="21"/>
        <v xml:space="preserve"> 191191</v>
      </c>
      <c r="D357" t="str">
        <f t="shared" si="22"/>
        <v>1</v>
      </c>
      <c r="E357" t="s">
        <v>1874</v>
      </c>
      <c r="F357" t="s">
        <v>2365</v>
      </c>
      <c r="G357" t="s">
        <v>1996</v>
      </c>
      <c r="H357" t="str">
        <f t="shared" si="23"/>
        <v>191191</v>
      </c>
      <c r="M357" t="s">
        <v>1499</v>
      </c>
      <c r="N357">
        <v>1</v>
      </c>
      <c r="O357" t="s">
        <v>5</v>
      </c>
      <c r="P357">
        <v>12641</v>
      </c>
      <c r="Q357">
        <v>12641</v>
      </c>
    </row>
    <row r="358" spans="1:17" x14ac:dyDescent="0.35">
      <c r="A358" t="s">
        <v>1500</v>
      </c>
      <c r="B358" t="str">
        <f t="shared" si="20"/>
        <v>T-coupler, 200x80mm</v>
      </c>
      <c r="C358" t="str">
        <f t="shared" si="21"/>
        <v xml:space="preserve"> 36144-RU</v>
      </c>
      <c r="D358" t="str">
        <f t="shared" si="22"/>
        <v>7</v>
      </c>
      <c r="E358" t="s">
        <v>2366</v>
      </c>
      <c r="F358" t="s">
        <v>2367</v>
      </c>
      <c r="G358" t="s">
        <v>2065</v>
      </c>
      <c r="H358" t="str">
        <f t="shared" si="23"/>
        <v>36144-RU</v>
      </c>
      <c r="M358" t="s">
        <v>1501</v>
      </c>
      <c r="N358">
        <v>7</v>
      </c>
      <c r="O358" t="s">
        <v>5</v>
      </c>
      <c r="P358">
        <v>1793.5714285714289</v>
      </c>
      <c r="Q358">
        <v>12555</v>
      </c>
    </row>
    <row r="359" spans="1:17" x14ac:dyDescent="0.35">
      <c r="A359" t="s">
        <v>1502</v>
      </c>
      <c r="B359" t="str">
        <f t="shared" si="20"/>
        <v>D 20.671.192 T</v>
      </c>
      <c r="C359" t="str">
        <f t="shared" si="21"/>
        <v xml:space="preserve"> 35111</v>
      </c>
      <c r="D359" t="str">
        <f t="shared" si="22"/>
        <v>20</v>
      </c>
      <c r="E359" t="s">
        <v>1875</v>
      </c>
      <c r="F359" t="s">
        <v>2368</v>
      </c>
      <c r="G359" t="s">
        <v>2078</v>
      </c>
      <c r="H359" t="str">
        <f t="shared" si="23"/>
        <v>35111</v>
      </c>
      <c r="M359" t="s">
        <v>1503</v>
      </c>
      <c r="N359">
        <v>20</v>
      </c>
      <c r="O359" t="s">
        <v>2</v>
      </c>
      <c r="P359">
        <v>625.93333333333328</v>
      </c>
      <c r="Q359">
        <v>12518.66666666667</v>
      </c>
    </row>
    <row r="360" spans="1:17" x14ac:dyDescent="0.35">
      <c r="A360" t="s">
        <v>1504</v>
      </c>
      <c r="B360" t="str">
        <f t="shared" si="20"/>
        <v>Optical cross</v>
      </c>
      <c r="C360" t="str">
        <f t="shared" si="21"/>
        <v xml:space="preserve"> NMF-RP16SCUS2-RU</v>
      </c>
      <c r="D360" t="str">
        <f t="shared" si="22"/>
        <v>4</v>
      </c>
      <c r="E360" t="s">
        <v>1876</v>
      </c>
      <c r="F360" t="s">
        <v>2369</v>
      </c>
      <c r="G360" t="s">
        <v>2040</v>
      </c>
      <c r="H360" t="str">
        <f t="shared" si="23"/>
        <v>NMF-RP16SCUS2-RU</v>
      </c>
      <c r="M360" t="s">
        <v>1505</v>
      </c>
      <c r="N360">
        <v>4</v>
      </c>
      <c r="O360" t="s">
        <v>5</v>
      </c>
      <c r="P360">
        <v>3048.5</v>
      </c>
      <c r="Q360">
        <v>12194</v>
      </c>
    </row>
    <row r="361" spans="1:17" x14ac:dyDescent="0.35">
      <c r="A361" t="s">
        <v>1506</v>
      </c>
      <c r="B361" t="str">
        <f t="shared" si="20"/>
        <v>D 95.610.03 UAE/2-N</v>
      </c>
      <c r="C361" t="str">
        <f t="shared" si="21"/>
        <v xml:space="preserve"> 787411</v>
      </c>
      <c r="D361" t="str">
        <f t="shared" si="22"/>
        <v>20</v>
      </c>
      <c r="E361" t="s">
        <v>1877</v>
      </c>
      <c r="F361" t="s">
        <v>2370</v>
      </c>
      <c r="G361" t="s">
        <v>2078</v>
      </c>
      <c r="H361" t="str">
        <f t="shared" si="23"/>
        <v>787411</v>
      </c>
      <c r="M361" t="s">
        <v>1507</v>
      </c>
      <c r="N361">
        <v>20</v>
      </c>
      <c r="O361" t="s">
        <v>2</v>
      </c>
      <c r="P361">
        <v>603.25</v>
      </c>
      <c r="Q361">
        <v>12065</v>
      </c>
    </row>
    <row r="362" spans="1:17" x14ac:dyDescent="0.35">
      <c r="A362" t="s">
        <v>1508</v>
      </c>
      <c r="B362" t="str">
        <f t="shared" si="20"/>
        <v>D 20.674.220.702</v>
      </c>
      <c r="C362" t="str">
        <f t="shared" si="21"/>
        <v xml:space="preserve"> 190991</v>
      </c>
      <c r="D362" t="str">
        <f t="shared" si="22"/>
        <v>1</v>
      </c>
      <c r="E362" t="s">
        <v>1878</v>
      </c>
      <c r="F362" t="s">
        <v>2371</v>
      </c>
      <c r="G362" t="s">
        <v>1996</v>
      </c>
      <c r="H362" t="str">
        <f t="shared" si="23"/>
        <v>190991</v>
      </c>
      <c r="M362" t="s">
        <v>1509</v>
      </c>
      <c r="N362">
        <v>1</v>
      </c>
      <c r="O362" t="s">
        <v>5</v>
      </c>
      <c r="P362">
        <v>11874</v>
      </c>
      <c r="Q362">
        <v>11874</v>
      </c>
    </row>
    <row r="363" spans="1:17" x14ac:dyDescent="0.35">
      <c r="A363" t="s">
        <v>1510</v>
      </c>
      <c r="B363" t="str">
        <f t="shared" si="20"/>
        <v>Electronic fuse</v>
      </c>
      <c r="C363" t="str">
        <f t="shared" si="21"/>
        <v xml:space="preserve"> D-71570</v>
      </c>
      <c r="D363" t="str">
        <f t="shared" si="22"/>
        <v>1</v>
      </c>
      <c r="E363" t="s">
        <v>1879</v>
      </c>
      <c r="F363" t="s">
        <v>2372</v>
      </c>
      <c r="G363" t="s">
        <v>1996</v>
      </c>
      <c r="H363" t="str">
        <f t="shared" si="23"/>
        <v>D-71570</v>
      </c>
      <c r="M363" t="s">
        <v>1511</v>
      </c>
      <c r="N363">
        <v>1</v>
      </c>
      <c r="O363" t="s">
        <v>5</v>
      </c>
      <c r="P363">
        <v>11866</v>
      </c>
      <c r="Q363">
        <v>11866</v>
      </c>
    </row>
    <row r="364" spans="1:17" x14ac:dyDescent="0.35">
      <c r="A364" t="s">
        <v>1512</v>
      </c>
      <c r="B364" t="str">
        <f t="shared" si="20"/>
        <v>D 20.610.21 TV</v>
      </c>
      <c r="C364" t="str">
        <f t="shared" si="21"/>
        <v xml:space="preserve"> 125711</v>
      </c>
      <c r="D364" t="str">
        <f t="shared" si="22"/>
        <v>16</v>
      </c>
      <c r="E364" t="s">
        <v>1880</v>
      </c>
      <c r="F364" t="s">
        <v>2373</v>
      </c>
      <c r="G364" t="s">
        <v>1992</v>
      </c>
      <c r="H364" t="str">
        <f t="shared" si="23"/>
        <v>125711</v>
      </c>
      <c r="M364" t="s">
        <v>1513</v>
      </c>
      <c r="N364">
        <v>16</v>
      </c>
      <c r="O364" t="s">
        <v>2</v>
      </c>
      <c r="P364">
        <v>714.1</v>
      </c>
      <c r="Q364">
        <v>11425.6</v>
      </c>
    </row>
    <row r="365" spans="1:17" x14ac:dyDescent="0.35">
      <c r="A365" t="s">
        <v>1514</v>
      </c>
      <c r="B365" t="str">
        <f t="shared" si="20"/>
        <v>D 20.677.192-Z</v>
      </c>
      <c r="C365" t="str">
        <f t="shared" si="21"/>
        <v xml:space="preserve"> 42511</v>
      </c>
      <c r="D365" t="str">
        <f t="shared" si="22"/>
        <v>10</v>
      </c>
      <c r="E365" t="s">
        <v>1881</v>
      </c>
      <c r="F365" t="s">
        <v>2374</v>
      </c>
      <c r="G365" t="s">
        <v>2050</v>
      </c>
      <c r="H365" t="str">
        <f t="shared" si="23"/>
        <v>42511</v>
      </c>
      <c r="M365" t="s">
        <v>1515</v>
      </c>
      <c r="N365">
        <v>10</v>
      </c>
      <c r="O365" t="s">
        <v>2</v>
      </c>
      <c r="P365">
        <v>1134.9000000000001</v>
      </c>
      <c r="Q365">
        <v>11349</v>
      </c>
    </row>
    <row r="366" spans="1:17" x14ac:dyDescent="0.35">
      <c r="A366" t="s">
        <v>1516</v>
      </c>
      <c r="B366" t="str">
        <f t="shared" si="20"/>
        <v>D 95.572.19.61</v>
      </c>
      <c r="C366" t="str">
        <f t="shared" si="21"/>
        <v xml:space="preserve"> 797211</v>
      </c>
      <c r="D366" t="str">
        <f t="shared" si="22"/>
        <v>10</v>
      </c>
      <c r="E366" t="s">
        <v>1882</v>
      </c>
      <c r="F366" t="s">
        <v>2375</v>
      </c>
      <c r="G366" t="s">
        <v>2050</v>
      </c>
      <c r="H366" t="str">
        <f t="shared" si="23"/>
        <v>797211</v>
      </c>
      <c r="M366" t="s">
        <v>1517</v>
      </c>
      <c r="N366">
        <v>10</v>
      </c>
      <c r="O366" t="s">
        <v>2</v>
      </c>
      <c r="P366">
        <v>1124.4000000000001</v>
      </c>
      <c r="Q366">
        <v>11244</v>
      </c>
    </row>
    <row r="367" spans="1:17" x14ac:dyDescent="0.35">
      <c r="A367" t="s">
        <v>1518</v>
      </c>
      <c r="B367" t="str">
        <f t="shared" si="20"/>
        <v>D 95.572.78</v>
      </c>
      <c r="C367" t="str">
        <f t="shared" si="21"/>
        <v xml:space="preserve"> 369211</v>
      </c>
      <c r="D367" t="str">
        <f t="shared" si="22"/>
        <v>20</v>
      </c>
      <c r="E367" t="s">
        <v>1883</v>
      </c>
      <c r="F367" t="s">
        <v>2376</v>
      </c>
      <c r="G367" t="s">
        <v>2078</v>
      </c>
      <c r="H367" t="str">
        <f t="shared" si="23"/>
        <v>369211</v>
      </c>
      <c r="M367" t="s">
        <v>1519</v>
      </c>
      <c r="N367">
        <v>20</v>
      </c>
      <c r="O367" t="s">
        <v>2</v>
      </c>
      <c r="P367">
        <v>552.6</v>
      </c>
      <c r="Q367">
        <v>11052</v>
      </c>
    </row>
    <row r="368" spans="1:17" x14ac:dyDescent="0.35">
      <c r="A368" t="s">
        <v>1520</v>
      </c>
      <c r="B368" t="str">
        <f t="shared" si="20"/>
        <v>D 20.486.702 LS</v>
      </c>
      <c r="C368" t="str">
        <f t="shared" si="21"/>
        <v xml:space="preserve"> 179951</v>
      </c>
      <c r="D368" t="str">
        <f t="shared" si="22"/>
        <v>2</v>
      </c>
      <c r="E368" t="s">
        <v>1884</v>
      </c>
      <c r="F368" t="s">
        <v>2377</v>
      </c>
      <c r="G368" t="s">
        <v>1990</v>
      </c>
      <c r="H368" t="str">
        <f t="shared" si="23"/>
        <v>179951</v>
      </c>
      <c r="M368" t="s">
        <v>1521</v>
      </c>
      <c r="N368">
        <v>2</v>
      </c>
      <c r="O368" t="s">
        <v>2</v>
      </c>
      <c r="P368">
        <v>5445</v>
      </c>
      <c r="Q368">
        <v>10890</v>
      </c>
    </row>
    <row r="369" spans="1:17" x14ac:dyDescent="0.35">
      <c r="A369" t="s">
        <v>1522</v>
      </c>
      <c r="B369" t="str">
        <f t="shared" si="20"/>
        <v>D 20.410.022 BM</v>
      </c>
      <c r="C369" t="str">
        <f t="shared" si="21"/>
        <v xml:space="preserve"> 29313</v>
      </c>
      <c r="D369" t="str">
        <f t="shared" si="22"/>
        <v>1</v>
      </c>
      <c r="E369" t="s">
        <v>1885</v>
      </c>
      <c r="F369" t="s">
        <v>2378</v>
      </c>
      <c r="G369" t="s">
        <v>1996</v>
      </c>
      <c r="H369" t="str">
        <f t="shared" si="23"/>
        <v>29313</v>
      </c>
      <c r="M369" t="s">
        <v>1523</v>
      </c>
      <c r="N369">
        <v>1</v>
      </c>
      <c r="O369" t="s">
        <v>2</v>
      </c>
      <c r="P369">
        <v>10645</v>
      </c>
      <c r="Q369">
        <v>10645</v>
      </c>
    </row>
    <row r="370" spans="1:17" x14ac:dyDescent="0.35">
      <c r="A370" t="s">
        <v>1524</v>
      </c>
      <c r="B370" t="str">
        <f t="shared" si="20"/>
        <v>Optical connecting cord</v>
      </c>
      <c r="C370" t="str">
        <f t="shared" si="21"/>
        <v xml:space="preserve"> 2SM-3.0-SCU-SCU-1</v>
      </c>
      <c r="D370" t="str">
        <f t="shared" si="22"/>
        <v>48</v>
      </c>
      <c r="E370" t="s">
        <v>1886</v>
      </c>
      <c r="F370" t="s">
        <v>2379</v>
      </c>
      <c r="G370" t="s">
        <v>2154</v>
      </c>
      <c r="H370" t="str">
        <f t="shared" si="23"/>
        <v>2SM-3.0-SCU-SCU-1</v>
      </c>
      <c r="M370" t="s">
        <v>1525</v>
      </c>
      <c r="N370">
        <v>48</v>
      </c>
      <c r="O370" t="s">
        <v>5</v>
      </c>
      <c r="P370">
        <v>209.52083333333329</v>
      </c>
      <c r="Q370">
        <v>10057</v>
      </c>
    </row>
    <row r="371" spans="1:17" x14ac:dyDescent="0.35">
      <c r="A371" t="s">
        <v>1526</v>
      </c>
      <c r="B371" t="str">
        <f t="shared" si="20"/>
        <v>D 20.574.64 T</v>
      </c>
      <c r="C371" t="str">
        <f t="shared" si="21"/>
        <v xml:space="preserve"> 174411</v>
      </c>
      <c r="D371" t="str">
        <f t="shared" si="22"/>
        <v>10</v>
      </c>
      <c r="E371" t="s">
        <v>1887</v>
      </c>
      <c r="F371" t="s">
        <v>2380</v>
      </c>
      <c r="G371" t="s">
        <v>2050</v>
      </c>
      <c r="H371" t="str">
        <f t="shared" si="23"/>
        <v>174411</v>
      </c>
      <c r="M371" t="s">
        <v>1527</v>
      </c>
      <c r="N371">
        <v>10</v>
      </c>
      <c r="O371" t="s">
        <v>2</v>
      </c>
      <c r="P371">
        <v>952.4</v>
      </c>
      <c r="Q371">
        <v>9524</v>
      </c>
    </row>
    <row r="372" spans="1:17" x14ac:dyDescent="0.35">
      <c r="A372" t="s">
        <v>1528</v>
      </c>
      <c r="B372" t="str">
        <f t="shared" si="20"/>
        <v>D 95.575.02</v>
      </c>
      <c r="C372" t="str">
        <f t="shared" si="21"/>
        <v xml:space="preserve"> 820511</v>
      </c>
      <c r="D372" t="str">
        <f t="shared" si="22"/>
        <v>12</v>
      </c>
      <c r="E372" t="s">
        <v>1888</v>
      </c>
      <c r="F372" t="s">
        <v>2381</v>
      </c>
      <c r="G372" t="s">
        <v>2382</v>
      </c>
      <c r="H372" t="str">
        <f t="shared" si="23"/>
        <v>820511</v>
      </c>
      <c r="M372" t="s">
        <v>1529</v>
      </c>
      <c r="N372">
        <v>12</v>
      </c>
      <c r="O372" t="s">
        <v>2</v>
      </c>
      <c r="P372">
        <v>763</v>
      </c>
      <c r="Q372">
        <v>9156</v>
      </c>
    </row>
    <row r="373" spans="1:17" x14ac:dyDescent="0.35">
      <c r="A373" t="s">
        <v>1530</v>
      </c>
      <c r="B373" t="str">
        <f t="shared" si="20"/>
        <v>D 95.610.03 TAE NA</v>
      </c>
      <c r="C373" t="str">
        <f t="shared" si="21"/>
        <v xml:space="preserve"> 824611</v>
      </c>
      <c r="D373" t="str">
        <f t="shared" si="22"/>
        <v>10</v>
      </c>
      <c r="E373" t="s">
        <v>1889</v>
      </c>
      <c r="F373" t="s">
        <v>2383</v>
      </c>
      <c r="G373" t="s">
        <v>2050</v>
      </c>
      <c r="H373" t="str">
        <f t="shared" si="23"/>
        <v>824611</v>
      </c>
      <c r="M373" t="s">
        <v>1531</v>
      </c>
      <c r="N373">
        <v>10</v>
      </c>
      <c r="O373" t="s">
        <v>5</v>
      </c>
      <c r="P373">
        <v>907.9</v>
      </c>
      <c r="Q373">
        <v>9079</v>
      </c>
    </row>
    <row r="374" spans="1:17" x14ac:dyDescent="0.35">
      <c r="A374" t="s">
        <v>1532</v>
      </c>
      <c r="B374" t="str">
        <f t="shared" si="20"/>
        <v>D 515</v>
      </c>
      <c r="C374" t="str">
        <f t="shared" si="21"/>
        <v xml:space="preserve"> 190511</v>
      </c>
      <c r="D374" t="str">
        <f t="shared" si="22"/>
        <v>10</v>
      </c>
      <c r="E374" t="s">
        <v>1890</v>
      </c>
      <c r="F374" t="s">
        <v>2384</v>
      </c>
      <c r="G374" t="s">
        <v>2050</v>
      </c>
      <c r="H374" t="str">
        <f t="shared" si="23"/>
        <v>190511</v>
      </c>
      <c r="M374" t="s">
        <v>1533</v>
      </c>
      <c r="N374">
        <v>10</v>
      </c>
      <c r="O374" t="s">
        <v>5</v>
      </c>
      <c r="P374">
        <v>902.7</v>
      </c>
      <c r="Q374">
        <v>9027</v>
      </c>
    </row>
    <row r="375" spans="1:17" x14ac:dyDescent="0.35">
      <c r="A375" t="s">
        <v>1534</v>
      </c>
      <c r="B375" t="str">
        <f t="shared" si="20"/>
        <v>D 20.540.022 GLK</v>
      </c>
      <c r="C375" t="str">
        <f t="shared" si="21"/>
        <v xml:space="preserve"> 23511</v>
      </c>
      <c r="D375" t="str">
        <f t="shared" si="22"/>
        <v>20</v>
      </c>
      <c r="E375" t="s">
        <v>1891</v>
      </c>
      <c r="F375" t="s">
        <v>2385</v>
      </c>
      <c r="G375" t="s">
        <v>2078</v>
      </c>
      <c r="H375" t="str">
        <f t="shared" si="23"/>
        <v>23511</v>
      </c>
      <c r="M375" t="s">
        <v>1535</v>
      </c>
      <c r="N375">
        <v>20</v>
      </c>
      <c r="O375" t="s">
        <v>2</v>
      </c>
      <c r="P375">
        <v>448.7</v>
      </c>
      <c r="Q375">
        <v>8974</v>
      </c>
    </row>
    <row r="376" spans="1:17" x14ac:dyDescent="0.35">
      <c r="A376" t="s">
        <v>1536</v>
      </c>
      <c r="B376" t="str">
        <f t="shared" si="20"/>
        <v>10NM 24V MODULATING SR DCA</v>
      </c>
      <c r="C376" t="str">
        <f t="shared" si="21"/>
        <v xml:space="preserve"> S10010</v>
      </c>
      <c r="D376" t="str">
        <f t="shared" si="22"/>
        <v>1</v>
      </c>
      <c r="E376" t="s">
        <v>1843</v>
      </c>
      <c r="F376" t="s">
        <v>2386</v>
      </c>
      <c r="G376" t="s">
        <v>1996</v>
      </c>
      <c r="H376" t="str">
        <f t="shared" si="23"/>
        <v>S10010</v>
      </c>
      <c r="M376" t="s">
        <v>1537</v>
      </c>
      <c r="N376">
        <v>1</v>
      </c>
      <c r="O376" t="s">
        <v>5</v>
      </c>
      <c r="P376">
        <v>8870</v>
      </c>
      <c r="Q376">
        <v>8870</v>
      </c>
    </row>
    <row r="377" spans="1:17" x14ac:dyDescent="0.35">
      <c r="A377" t="s">
        <v>1536</v>
      </c>
      <c r="B377" t="str">
        <f t="shared" si="20"/>
        <v>10NM 24V MODULATING SR DCA</v>
      </c>
      <c r="C377" t="str">
        <f t="shared" si="21"/>
        <v xml:space="preserve"> S10010</v>
      </c>
      <c r="D377" t="str">
        <f t="shared" si="22"/>
        <v>1</v>
      </c>
      <c r="E377" t="s">
        <v>1843</v>
      </c>
      <c r="F377" t="s">
        <v>2386</v>
      </c>
      <c r="G377" t="s">
        <v>1996</v>
      </c>
      <c r="H377" t="str">
        <f t="shared" si="23"/>
        <v>S10010</v>
      </c>
      <c r="M377" t="s">
        <v>1537</v>
      </c>
      <c r="N377">
        <v>1</v>
      </c>
      <c r="O377" t="s">
        <v>5</v>
      </c>
      <c r="P377">
        <v>8870</v>
      </c>
      <c r="Q377">
        <v>8870</v>
      </c>
    </row>
    <row r="378" spans="1:17" x14ac:dyDescent="0.35">
      <c r="A378" t="s">
        <v>1538</v>
      </c>
      <c r="B378" t="str">
        <f t="shared" si="20"/>
        <v>D 20.530.192</v>
      </c>
      <c r="C378" t="str">
        <f t="shared" si="21"/>
        <v xml:space="preserve"> 37011</v>
      </c>
      <c r="D378" t="str">
        <f t="shared" si="22"/>
        <v>10</v>
      </c>
      <c r="E378" t="s">
        <v>1892</v>
      </c>
      <c r="F378" t="s">
        <v>2387</v>
      </c>
      <c r="G378" t="s">
        <v>2050</v>
      </c>
      <c r="H378" t="str">
        <f t="shared" si="23"/>
        <v>37011</v>
      </c>
      <c r="M378" t="s">
        <v>1539</v>
      </c>
      <c r="N378">
        <v>10</v>
      </c>
      <c r="O378" t="s">
        <v>2</v>
      </c>
      <c r="P378">
        <v>841.6</v>
      </c>
      <c r="Q378">
        <v>8416</v>
      </c>
    </row>
    <row r="379" spans="1:17" x14ac:dyDescent="0.35">
      <c r="A379" t="s">
        <v>1540</v>
      </c>
      <c r="B379" t="str">
        <f t="shared" si="20"/>
        <v>D 95.610/2.70 KEY</v>
      </c>
      <c r="C379" t="str">
        <f t="shared" si="21"/>
        <v xml:space="preserve"> 336011</v>
      </c>
      <c r="D379" t="str">
        <f t="shared" si="22"/>
        <v>6</v>
      </c>
      <c r="E379" t="s">
        <v>1893</v>
      </c>
      <c r="F379" t="s">
        <v>2388</v>
      </c>
      <c r="G379" t="s">
        <v>1955</v>
      </c>
      <c r="H379" t="str">
        <f t="shared" si="23"/>
        <v>336011</v>
      </c>
      <c r="M379" t="s">
        <v>1541</v>
      </c>
      <c r="N379">
        <v>6</v>
      </c>
      <c r="O379" t="s">
        <v>2</v>
      </c>
      <c r="P379">
        <v>1402</v>
      </c>
      <c r="Q379">
        <v>8412</v>
      </c>
    </row>
    <row r="380" spans="1:17" x14ac:dyDescent="0.35">
      <c r="A380" t="s">
        <v>1542</v>
      </c>
      <c r="B380" t="str">
        <f t="shared" si="20"/>
        <v>RRC adapter, 400x200mm</v>
      </c>
      <c r="C380" t="str">
        <f t="shared" si="21"/>
        <v xml:space="preserve"> 36299-RU</v>
      </c>
      <c r="D380" t="str">
        <f t="shared" si="22"/>
        <v>2</v>
      </c>
      <c r="E380" t="s">
        <v>2389</v>
      </c>
      <c r="F380" t="s">
        <v>2390</v>
      </c>
      <c r="G380" t="s">
        <v>1990</v>
      </c>
      <c r="H380" t="str">
        <f t="shared" si="23"/>
        <v>36299-RU</v>
      </c>
      <c r="M380" t="s">
        <v>1543</v>
      </c>
      <c r="N380">
        <v>2</v>
      </c>
      <c r="O380" t="s">
        <v>5</v>
      </c>
      <c r="P380">
        <v>4161.5</v>
      </c>
      <c r="Q380">
        <v>8323</v>
      </c>
    </row>
    <row r="381" spans="1:17" x14ac:dyDescent="0.35">
      <c r="A381" t="s">
        <v>1544</v>
      </c>
      <c r="B381" t="str">
        <f t="shared" si="20"/>
        <v>D 20.610.022 UAE/2 NA</v>
      </c>
      <c r="C381" t="str">
        <f t="shared" si="21"/>
        <v xml:space="preserve"> 29011</v>
      </c>
      <c r="D381" t="str">
        <f t="shared" si="22"/>
        <v>10</v>
      </c>
      <c r="E381" t="s">
        <v>1894</v>
      </c>
      <c r="F381" t="s">
        <v>2391</v>
      </c>
      <c r="G381" t="s">
        <v>2050</v>
      </c>
      <c r="H381" t="str">
        <f t="shared" si="23"/>
        <v>29011</v>
      </c>
      <c r="M381" t="s">
        <v>1545</v>
      </c>
      <c r="N381">
        <v>10</v>
      </c>
      <c r="O381" t="s">
        <v>2</v>
      </c>
      <c r="P381">
        <v>825</v>
      </c>
      <c r="Q381">
        <v>8250</v>
      </c>
    </row>
    <row r="382" spans="1:17" x14ac:dyDescent="0.35">
      <c r="A382" t="s">
        <v>1546</v>
      </c>
      <c r="B382" t="str">
        <f t="shared" si="20"/>
        <v>D 95.610.02 TV NA</v>
      </c>
      <c r="C382" t="str">
        <f t="shared" si="21"/>
        <v xml:space="preserve"> 815611</v>
      </c>
      <c r="D382" t="str">
        <f t="shared" si="22"/>
        <v>17</v>
      </c>
      <c r="E382" t="s">
        <v>1895</v>
      </c>
      <c r="F382" t="s">
        <v>2392</v>
      </c>
      <c r="G382" t="s">
        <v>2132</v>
      </c>
      <c r="H382" t="str">
        <f t="shared" si="23"/>
        <v>815611</v>
      </c>
      <c r="M382" t="s">
        <v>1547</v>
      </c>
      <c r="N382">
        <v>17</v>
      </c>
      <c r="O382" t="s">
        <v>2</v>
      </c>
      <c r="P382">
        <v>462.47058823529409</v>
      </c>
      <c r="Q382">
        <v>7862</v>
      </c>
    </row>
    <row r="383" spans="1:17" x14ac:dyDescent="0.35">
      <c r="A383" t="s">
        <v>1548</v>
      </c>
      <c r="B383" t="str">
        <f t="shared" si="20"/>
        <v>T-coupler, 100x80mm</v>
      </c>
      <c r="C383" t="str">
        <f t="shared" si="21"/>
        <v xml:space="preserve"> 36142-RU</v>
      </c>
      <c r="D383" t="str">
        <f t="shared" si="22"/>
        <v>3</v>
      </c>
      <c r="E383" t="s">
        <v>2393</v>
      </c>
      <c r="F383" t="s">
        <v>2394</v>
      </c>
      <c r="G383" t="s">
        <v>2026</v>
      </c>
      <c r="H383" t="str">
        <f t="shared" si="23"/>
        <v>36142-RU</v>
      </c>
      <c r="M383" t="s">
        <v>1549</v>
      </c>
      <c r="N383">
        <v>3</v>
      </c>
      <c r="O383" t="s">
        <v>5</v>
      </c>
      <c r="P383">
        <v>2507.333333333333</v>
      </c>
      <c r="Q383">
        <v>7522</v>
      </c>
    </row>
    <row r="384" spans="1:17" x14ac:dyDescent="0.35">
      <c r="A384" t="s">
        <v>1550</v>
      </c>
      <c r="B384" t="str">
        <f t="shared" si="20"/>
        <v>D 95.6511.26 K</v>
      </c>
      <c r="C384" t="str">
        <f t="shared" si="21"/>
        <v xml:space="preserve"> 775611</v>
      </c>
      <c r="D384" t="str">
        <f t="shared" si="22"/>
        <v>4</v>
      </c>
      <c r="E384" t="s">
        <v>1896</v>
      </c>
      <c r="F384" t="s">
        <v>2395</v>
      </c>
      <c r="G384" t="s">
        <v>2040</v>
      </c>
      <c r="H384" t="str">
        <f t="shared" si="23"/>
        <v>775611</v>
      </c>
      <c r="M384" t="s">
        <v>1551</v>
      </c>
      <c r="N384">
        <v>4</v>
      </c>
      <c r="O384" t="s">
        <v>2</v>
      </c>
      <c r="P384">
        <v>1871.75</v>
      </c>
      <c r="Q384">
        <v>7487</v>
      </c>
    </row>
    <row r="385" spans="1:17" x14ac:dyDescent="0.35">
      <c r="A385" t="s">
        <v>1552</v>
      </c>
      <c r="B385" t="str">
        <f t="shared" si="20"/>
        <v>D 701 DO F</v>
      </c>
      <c r="C385" t="str">
        <f t="shared" si="21"/>
        <v xml:space="preserve"> 604411</v>
      </c>
      <c r="D385" t="str">
        <f t="shared" si="22"/>
        <v>30</v>
      </c>
      <c r="E385" t="s">
        <v>1897</v>
      </c>
      <c r="F385" t="s">
        <v>2396</v>
      </c>
      <c r="G385" t="s">
        <v>2000</v>
      </c>
      <c r="H385" t="str">
        <f t="shared" si="23"/>
        <v>604411</v>
      </c>
      <c r="M385" t="s">
        <v>1553</v>
      </c>
      <c r="N385">
        <v>30</v>
      </c>
      <c r="O385" t="s">
        <v>2</v>
      </c>
      <c r="P385">
        <v>238.33333333333329</v>
      </c>
      <c r="Q385">
        <v>7150</v>
      </c>
    </row>
    <row r="386" spans="1:17" x14ac:dyDescent="0.35">
      <c r="A386" t="s">
        <v>1554</v>
      </c>
      <c r="B386" t="str">
        <f t="shared" si="20"/>
        <v>D 95.540.02 GLK</v>
      </c>
      <c r="C386" t="str">
        <f t="shared" si="21"/>
        <v xml:space="preserve"> 821811</v>
      </c>
      <c r="D386" t="str">
        <f t="shared" si="22"/>
        <v>10</v>
      </c>
      <c r="E386" t="s">
        <v>1898</v>
      </c>
      <c r="F386" t="s">
        <v>2397</v>
      </c>
      <c r="G386" t="s">
        <v>2050</v>
      </c>
      <c r="H386" t="str">
        <f t="shared" si="23"/>
        <v>821811</v>
      </c>
      <c r="M386" t="s">
        <v>1555</v>
      </c>
      <c r="N386">
        <v>10</v>
      </c>
      <c r="O386" t="s">
        <v>2</v>
      </c>
      <c r="P386">
        <v>697.5</v>
      </c>
      <c r="Q386">
        <v>6975</v>
      </c>
    </row>
    <row r="387" spans="1:17" x14ac:dyDescent="0.35">
      <c r="A387" t="s">
        <v>1556</v>
      </c>
      <c r="B387" t="str">
        <f t="shared" ref="B387:B433" si="24">LEFT(A387,FIND("модель/артикул",A387)-3)</f>
        <v>D 95.610.02 UAE/2-N</v>
      </c>
      <c r="C387" t="str">
        <f t="shared" ref="C387:C433" si="25">MID(A387,FIND("модель/артикул",A387)+14,FIND("кол-во",A387)-FIND("модель/артикул",A387)-16)</f>
        <v xml:space="preserve"> 787511</v>
      </c>
      <c r="D387" t="str">
        <f t="shared" ref="D387:D433" si="26">MID(A387,FIND("кол-во",A387)+7,LEN(A387))</f>
        <v>9</v>
      </c>
      <c r="E387" t="s">
        <v>1899</v>
      </c>
      <c r="F387" t="s">
        <v>2398</v>
      </c>
      <c r="G387" t="s">
        <v>1984</v>
      </c>
      <c r="H387" t="str">
        <f t="shared" ref="H387:H433" si="27">TRIM(F387)</f>
        <v>787511</v>
      </c>
      <c r="M387" t="s">
        <v>1557</v>
      </c>
      <c r="N387">
        <v>9</v>
      </c>
      <c r="O387" t="s">
        <v>5</v>
      </c>
      <c r="P387">
        <v>758.66666666666663</v>
      </c>
      <c r="Q387">
        <v>6828</v>
      </c>
    </row>
    <row r="388" spans="1:17" x14ac:dyDescent="0.35">
      <c r="A388" t="s">
        <v>1558</v>
      </c>
      <c r="B388" t="str">
        <f t="shared" si="24"/>
        <v>D 95.571.02</v>
      </c>
      <c r="C388" t="str">
        <f t="shared" si="25"/>
        <v xml:space="preserve"> 820111</v>
      </c>
      <c r="D388" t="str">
        <f t="shared" si="26"/>
        <v>14</v>
      </c>
      <c r="E388" t="s">
        <v>1900</v>
      </c>
      <c r="F388" t="s">
        <v>2399</v>
      </c>
      <c r="G388" t="s">
        <v>2323</v>
      </c>
      <c r="H388" t="str">
        <f t="shared" si="27"/>
        <v>820111</v>
      </c>
      <c r="M388" t="s">
        <v>1559</v>
      </c>
      <c r="N388">
        <v>14</v>
      </c>
      <c r="O388" t="s">
        <v>5</v>
      </c>
      <c r="P388">
        <v>475.78571428571428</v>
      </c>
      <c r="Q388">
        <v>6661</v>
      </c>
    </row>
    <row r="389" spans="1:17" x14ac:dyDescent="0.35">
      <c r="A389" t="s">
        <v>1560</v>
      </c>
      <c r="B389" t="str">
        <f t="shared" si="24"/>
        <v>D 20.610.022 AT</v>
      </c>
      <c r="C389" t="str">
        <f t="shared" si="25"/>
        <v xml:space="preserve"> 27711</v>
      </c>
      <c r="D389" t="str">
        <f t="shared" si="26"/>
        <v>5</v>
      </c>
      <c r="E389" t="s">
        <v>1901</v>
      </c>
      <c r="F389" t="s">
        <v>2400</v>
      </c>
      <c r="G389" t="s">
        <v>1967</v>
      </c>
      <c r="H389" t="str">
        <f t="shared" si="27"/>
        <v>27711</v>
      </c>
      <c r="M389" t="s">
        <v>1561</v>
      </c>
      <c r="N389">
        <v>5</v>
      </c>
      <c r="O389" t="s">
        <v>2</v>
      </c>
      <c r="P389">
        <v>1318.2</v>
      </c>
      <c r="Q389">
        <v>6591</v>
      </c>
    </row>
    <row r="390" spans="1:17" x14ac:dyDescent="0.35">
      <c r="A390" t="s">
        <v>1562</v>
      </c>
      <c r="B390" t="str">
        <f t="shared" si="24"/>
        <v>D 95.610.03 USB SPV</v>
      </c>
      <c r="C390" t="str">
        <f t="shared" si="25"/>
        <v xml:space="preserve"> 239053</v>
      </c>
      <c r="D390" t="str">
        <f t="shared" si="26"/>
        <v>10</v>
      </c>
      <c r="E390" t="s">
        <v>1902</v>
      </c>
      <c r="F390" t="s">
        <v>2401</v>
      </c>
      <c r="G390" t="s">
        <v>2050</v>
      </c>
      <c r="H390" t="str">
        <f t="shared" si="27"/>
        <v>239053</v>
      </c>
      <c r="M390" t="s">
        <v>1563</v>
      </c>
      <c r="N390">
        <v>10</v>
      </c>
      <c r="O390" t="s">
        <v>2</v>
      </c>
      <c r="P390">
        <v>649.20000000000005</v>
      </c>
      <c r="Q390">
        <v>6492</v>
      </c>
    </row>
    <row r="391" spans="1:17" x14ac:dyDescent="0.35">
      <c r="A391" t="s">
        <v>1564</v>
      </c>
      <c r="B391" t="str">
        <f t="shared" si="24"/>
        <v>Horizontal angle, 400x80mm</v>
      </c>
      <c r="C391" t="str">
        <f t="shared" si="25"/>
        <v xml:space="preserve"> 36026-RU</v>
      </c>
      <c r="D391" t="str">
        <f t="shared" si="26"/>
        <v>2</v>
      </c>
      <c r="E391" t="s">
        <v>2402</v>
      </c>
      <c r="F391" t="s">
        <v>2403</v>
      </c>
      <c r="G391" t="s">
        <v>1990</v>
      </c>
      <c r="H391" t="str">
        <f t="shared" si="27"/>
        <v>36026-RU</v>
      </c>
      <c r="M391" t="s">
        <v>1565</v>
      </c>
      <c r="N391">
        <v>2</v>
      </c>
      <c r="O391" t="s">
        <v>5</v>
      </c>
      <c r="P391">
        <v>3048</v>
      </c>
      <c r="Q391">
        <v>6096</v>
      </c>
    </row>
    <row r="392" spans="1:17" x14ac:dyDescent="0.35">
      <c r="A392" t="s">
        <v>1566</v>
      </c>
      <c r="B392" t="str">
        <f t="shared" si="24"/>
        <v>D 95.610.26 TV NA</v>
      </c>
      <c r="C392" t="str">
        <f t="shared" si="25"/>
        <v xml:space="preserve"> 777911</v>
      </c>
      <c r="D392" t="str">
        <f t="shared" si="26"/>
        <v>7</v>
      </c>
      <c r="E392" t="s">
        <v>1903</v>
      </c>
      <c r="F392" t="s">
        <v>2404</v>
      </c>
      <c r="G392" t="s">
        <v>2065</v>
      </c>
      <c r="H392" t="str">
        <f t="shared" si="27"/>
        <v>777911</v>
      </c>
      <c r="M392" t="s">
        <v>1567</v>
      </c>
      <c r="N392">
        <v>7</v>
      </c>
      <c r="O392" t="s">
        <v>2</v>
      </c>
      <c r="P392">
        <v>865.1</v>
      </c>
      <c r="Q392">
        <v>6055.7</v>
      </c>
    </row>
    <row r="393" spans="1:17" x14ac:dyDescent="0.35">
      <c r="A393" t="s">
        <v>1568</v>
      </c>
      <c r="B393" t="str">
        <f t="shared" si="24"/>
        <v>D 771.02</v>
      </c>
      <c r="C393" t="str">
        <f t="shared" si="25"/>
        <v xml:space="preserve"> 603111</v>
      </c>
      <c r="D393" t="str">
        <f t="shared" si="26"/>
        <v>31</v>
      </c>
      <c r="E393" t="s">
        <v>1904</v>
      </c>
      <c r="F393" t="s">
        <v>2405</v>
      </c>
      <c r="G393" t="s">
        <v>2406</v>
      </c>
      <c r="H393" t="str">
        <f t="shared" si="27"/>
        <v>603111</v>
      </c>
      <c r="M393" t="s">
        <v>1569</v>
      </c>
      <c r="N393">
        <v>31</v>
      </c>
      <c r="O393" t="s">
        <v>2</v>
      </c>
      <c r="P393">
        <v>188.58064516129031</v>
      </c>
      <c r="Q393">
        <v>5846</v>
      </c>
    </row>
    <row r="394" spans="1:17" x14ac:dyDescent="0.35">
      <c r="A394" t="s">
        <v>1570</v>
      </c>
      <c r="B394" t="str">
        <f t="shared" si="24"/>
        <v>OUTDOOR AIR PT1000, IP65</v>
      </c>
      <c r="C394" t="str">
        <f t="shared" si="25"/>
        <v xml:space="preserve"> AF00-B65</v>
      </c>
      <c r="D394" t="str">
        <f t="shared" si="26"/>
        <v>2</v>
      </c>
      <c r="E394" t="s">
        <v>2407</v>
      </c>
      <c r="F394" t="s">
        <v>2408</v>
      </c>
      <c r="G394" t="s">
        <v>1990</v>
      </c>
      <c r="H394" t="str">
        <f t="shared" si="27"/>
        <v>AF00-B65</v>
      </c>
      <c r="M394" t="s">
        <v>1571</v>
      </c>
      <c r="N394">
        <v>2</v>
      </c>
      <c r="O394" t="s">
        <v>2</v>
      </c>
      <c r="P394">
        <v>2791</v>
      </c>
      <c r="Q394">
        <v>5582</v>
      </c>
    </row>
    <row r="395" spans="1:17" x14ac:dyDescent="0.35">
      <c r="A395" t="s">
        <v>1572</v>
      </c>
      <c r="B395" t="str">
        <f t="shared" si="24"/>
        <v>D 550</v>
      </c>
      <c r="C395" t="str">
        <f t="shared" si="25"/>
        <v xml:space="preserve"> 193111</v>
      </c>
      <c r="D395" t="str">
        <f t="shared" si="26"/>
        <v>6</v>
      </c>
      <c r="E395" t="s">
        <v>1905</v>
      </c>
      <c r="F395" t="s">
        <v>2409</v>
      </c>
      <c r="G395" t="s">
        <v>1955</v>
      </c>
      <c r="H395" t="str">
        <f t="shared" si="27"/>
        <v>193111</v>
      </c>
      <c r="M395" t="s">
        <v>1573</v>
      </c>
      <c r="N395">
        <v>6</v>
      </c>
      <c r="O395" t="s">
        <v>5</v>
      </c>
      <c r="P395">
        <v>924.5</v>
      </c>
      <c r="Q395">
        <v>5547</v>
      </c>
    </row>
    <row r="396" spans="1:17" x14ac:dyDescent="0.35">
      <c r="A396" t="s">
        <v>1574</v>
      </c>
      <c r="B396" t="str">
        <f t="shared" si="24"/>
        <v>D 95.610.02 TAE NA</v>
      </c>
      <c r="C396" t="str">
        <f t="shared" si="25"/>
        <v xml:space="preserve"> 815511</v>
      </c>
      <c r="D396" t="str">
        <f t="shared" si="26"/>
        <v>5</v>
      </c>
      <c r="E396" t="s">
        <v>1906</v>
      </c>
      <c r="F396" t="s">
        <v>2410</v>
      </c>
      <c r="G396" t="s">
        <v>1967</v>
      </c>
      <c r="H396" t="str">
        <f t="shared" si="27"/>
        <v>815511</v>
      </c>
      <c r="M396" t="s">
        <v>1575</v>
      </c>
      <c r="N396">
        <v>5</v>
      </c>
      <c r="O396" t="s">
        <v>5</v>
      </c>
      <c r="P396">
        <v>1068.5999999999999</v>
      </c>
      <c r="Q396">
        <v>5343</v>
      </c>
    </row>
    <row r="397" spans="1:17" x14ac:dyDescent="0.35">
      <c r="A397" t="s">
        <v>1576</v>
      </c>
      <c r="B397" t="str">
        <f t="shared" si="24"/>
        <v>D 95.573.03.61</v>
      </c>
      <c r="C397" t="str">
        <f t="shared" si="25"/>
        <v xml:space="preserve"> 788311</v>
      </c>
      <c r="D397" t="str">
        <f t="shared" si="26"/>
        <v>2</v>
      </c>
      <c r="E397" t="s">
        <v>1907</v>
      </c>
      <c r="F397" t="s">
        <v>2411</v>
      </c>
      <c r="G397" t="s">
        <v>1990</v>
      </c>
      <c r="H397" t="str">
        <f t="shared" si="27"/>
        <v>788311</v>
      </c>
      <c r="M397" t="s">
        <v>1577</v>
      </c>
      <c r="N397">
        <v>2</v>
      </c>
      <c r="O397" t="s">
        <v>2</v>
      </c>
      <c r="P397">
        <v>2492.5</v>
      </c>
      <c r="Q397">
        <v>4985</v>
      </c>
    </row>
    <row r="398" spans="1:17" x14ac:dyDescent="0.35">
      <c r="A398" t="s">
        <v>1578</v>
      </c>
      <c r="B398" t="str">
        <f t="shared" si="24"/>
        <v>Flexible corrugated pipe (в метрах)</v>
      </c>
      <c r="C398" t="str">
        <f t="shared" si="25"/>
        <v xml:space="preserve"> 91940-RU</v>
      </c>
      <c r="D398" t="str">
        <f t="shared" si="26"/>
        <v>100</v>
      </c>
      <c r="E398" t="s">
        <v>1908</v>
      </c>
      <c r="F398" t="s">
        <v>2412</v>
      </c>
      <c r="G398" t="s">
        <v>1978</v>
      </c>
      <c r="H398" t="str">
        <f t="shared" si="27"/>
        <v>91940-RU</v>
      </c>
      <c r="M398" t="s">
        <v>1579</v>
      </c>
      <c r="N398">
        <v>100</v>
      </c>
      <c r="O398" t="s">
        <v>5</v>
      </c>
      <c r="P398">
        <v>49.41</v>
      </c>
      <c r="Q398">
        <v>4941</v>
      </c>
    </row>
    <row r="399" spans="1:17" x14ac:dyDescent="0.35">
      <c r="A399" t="s">
        <v>1580</v>
      </c>
      <c r="B399" t="str">
        <f t="shared" si="24"/>
        <v>D 20.244.02 JR</v>
      </c>
      <c r="C399" t="str">
        <f t="shared" si="25"/>
        <v xml:space="preserve"> 158811</v>
      </c>
      <c r="D399" t="str">
        <f t="shared" si="26"/>
        <v>10</v>
      </c>
      <c r="E399" t="s">
        <v>1909</v>
      </c>
      <c r="F399" t="s">
        <v>2413</v>
      </c>
      <c r="G399" t="s">
        <v>2050</v>
      </c>
      <c r="H399" t="str">
        <f t="shared" si="27"/>
        <v>158811</v>
      </c>
      <c r="M399" t="s">
        <v>1581</v>
      </c>
      <c r="N399">
        <v>10</v>
      </c>
      <c r="O399" t="s">
        <v>2</v>
      </c>
      <c r="P399">
        <v>490.6</v>
      </c>
      <c r="Q399">
        <v>4906</v>
      </c>
    </row>
    <row r="400" spans="1:17" x14ac:dyDescent="0.35">
      <c r="A400" t="s">
        <v>1582</v>
      </c>
      <c r="B400" t="str">
        <f t="shared" si="24"/>
        <v>D 20.540.192 GLK</v>
      </c>
      <c r="C400" t="str">
        <f t="shared" si="25"/>
        <v xml:space="preserve"> 38511</v>
      </c>
      <c r="D400" t="str">
        <f t="shared" si="26"/>
        <v>10</v>
      </c>
      <c r="E400" t="s">
        <v>1910</v>
      </c>
      <c r="F400" t="s">
        <v>2414</v>
      </c>
      <c r="G400" t="s">
        <v>2050</v>
      </c>
      <c r="H400" t="str">
        <f t="shared" si="27"/>
        <v>38511</v>
      </c>
      <c r="M400" t="s">
        <v>1583</v>
      </c>
      <c r="N400">
        <v>10</v>
      </c>
      <c r="O400" t="s">
        <v>2</v>
      </c>
      <c r="P400">
        <v>467.1</v>
      </c>
      <c r="Q400">
        <v>4671</v>
      </c>
    </row>
    <row r="401" spans="1:17" x14ac:dyDescent="0.35">
      <c r="A401" t="s">
        <v>1584</v>
      </c>
      <c r="B401" t="str">
        <f t="shared" si="24"/>
        <v>Предохранитель плавкий, Fuse, 2A</v>
      </c>
      <c r="C401" t="str">
        <f t="shared" si="25"/>
        <v xml:space="preserve"> FUSE-2A-5X20-RU</v>
      </c>
      <c r="D401" t="str">
        <f t="shared" si="26"/>
        <v>30</v>
      </c>
      <c r="E401" t="s">
        <v>2415</v>
      </c>
      <c r="F401" t="s">
        <v>2416</v>
      </c>
      <c r="G401" t="s">
        <v>2000</v>
      </c>
      <c r="H401" t="str">
        <f t="shared" si="27"/>
        <v>FUSE-2A-5X20-RU</v>
      </c>
      <c r="M401" t="s">
        <v>1585</v>
      </c>
      <c r="N401">
        <v>30</v>
      </c>
      <c r="O401" t="s">
        <v>5</v>
      </c>
      <c r="P401">
        <v>151.9</v>
      </c>
      <c r="Q401">
        <v>4557</v>
      </c>
    </row>
    <row r="402" spans="1:17" x14ac:dyDescent="0.35">
      <c r="A402" t="s">
        <v>1586</v>
      </c>
      <c r="B402" t="str">
        <f t="shared" si="24"/>
        <v>Предохранитель плавкий, Fuse, 6.3A</v>
      </c>
      <c r="C402" t="str">
        <f t="shared" si="25"/>
        <v xml:space="preserve"> FUSE-6.3A-5X20</v>
      </c>
      <c r="D402" t="str">
        <f t="shared" si="26"/>
        <v>30</v>
      </c>
      <c r="E402" t="s">
        <v>2417</v>
      </c>
      <c r="F402" t="s">
        <v>2418</v>
      </c>
      <c r="G402" t="s">
        <v>2000</v>
      </c>
      <c r="H402" t="str">
        <f t="shared" si="27"/>
        <v>FUSE-6.3A-5X20</v>
      </c>
      <c r="M402" t="s">
        <v>1587</v>
      </c>
      <c r="N402">
        <v>30</v>
      </c>
      <c r="O402" t="s">
        <v>5</v>
      </c>
      <c r="P402">
        <v>144.0333333333333</v>
      </c>
      <c r="Q402">
        <v>4321</v>
      </c>
    </row>
    <row r="403" spans="1:17" x14ac:dyDescent="0.35">
      <c r="A403" t="s">
        <v>1588</v>
      </c>
      <c r="B403" t="str">
        <f t="shared" si="24"/>
        <v>Crossover coupler, 200x80mm</v>
      </c>
      <c r="C403" t="str">
        <f t="shared" si="25"/>
        <v xml:space="preserve"> 36204-RU</v>
      </c>
      <c r="D403" t="str">
        <f t="shared" si="26"/>
        <v>1</v>
      </c>
      <c r="E403" t="s">
        <v>2419</v>
      </c>
      <c r="F403" t="s">
        <v>2420</v>
      </c>
      <c r="G403" t="s">
        <v>1996</v>
      </c>
      <c r="H403" t="str">
        <f t="shared" si="27"/>
        <v>36204-RU</v>
      </c>
      <c r="M403" t="s">
        <v>1589</v>
      </c>
      <c r="N403">
        <v>1</v>
      </c>
      <c r="O403" t="s">
        <v>5</v>
      </c>
      <c r="P403">
        <v>3716</v>
      </c>
      <c r="Q403">
        <v>3716</v>
      </c>
    </row>
    <row r="404" spans="1:17" x14ac:dyDescent="0.35">
      <c r="A404" t="s">
        <v>1590</v>
      </c>
      <c r="B404" t="str">
        <f t="shared" si="24"/>
        <v>D 95.810.70 HR</v>
      </c>
      <c r="C404" t="str">
        <f t="shared" si="25"/>
        <v xml:space="preserve"> 311513</v>
      </c>
      <c r="D404" t="str">
        <f t="shared" si="26"/>
        <v>2</v>
      </c>
      <c r="E404" t="s">
        <v>1911</v>
      </c>
      <c r="F404" t="s">
        <v>2421</v>
      </c>
      <c r="G404" t="s">
        <v>1990</v>
      </c>
      <c r="H404" t="str">
        <f t="shared" si="27"/>
        <v>311513</v>
      </c>
      <c r="M404" t="s">
        <v>1591</v>
      </c>
      <c r="N404">
        <v>2</v>
      </c>
      <c r="O404" t="s">
        <v>2</v>
      </c>
      <c r="P404">
        <v>1849</v>
      </c>
      <c r="Q404">
        <v>3698</v>
      </c>
    </row>
    <row r="405" spans="1:17" x14ac:dyDescent="0.35">
      <c r="A405" t="s">
        <v>1592</v>
      </c>
      <c r="B405" t="str">
        <f t="shared" si="24"/>
        <v>D 95.810.02 HR</v>
      </c>
      <c r="C405" t="str">
        <f t="shared" si="25"/>
        <v xml:space="preserve"> 816713</v>
      </c>
      <c r="D405" t="str">
        <f t="shared" si="26"/>
        <v>4</v>
      </c>
      <c r="E405" t="s">
        <v>1912</v>
      </c>
      <c r="F405" t="s">
        <v>2422</v>
      </c>
      <c r="G405" t="s">
        <v>2040</v>
      </c>
      <c r="H405" t="str">
        <f t="shared" si="27"/>
        <v>816713</v>
      </c>
      <c r="M405" t="s">
        <v>1593</v>
      </c>
      <c r="N405">
        <v>4</v>
      </c>
      <c r="O405" t="s">
        <v>2</v>
      </c>
      <c r="P405">
        <v>919.25</v>
      </c>
      <c r="Q405">
        <v>3677</v>
      </c>
    </row>
    <row r="406" spans="1:17" x14ac:dyDescent="0.35">
      <c r="A406" t="s">
        <v>1594</v>
      </c>
      <c r="B406" t="str">
        <f t="shared" si="24"/>
        <v>Optical box</v>
      </c>
      <c r="C406" t="str">
        <f t="shared" si="25"/>
        <v xml:space="preserve"> FO-WBI-12A-GY</v>
      </c>
      <c r="D406" t="str">
        <f t="shared" si="26"/>
        <v>1</v>
      </c>
      <c r="E406" t="s">
        <v>1913</v>
      </c>
      <c r="F406" t="s">
        <v>2423</v>
      </c>
      <c r="G406" t="s">
        <v>1996</v>
      </c>
      <c r="H406" t="str">
        <f t="shared" si="27"/>
        <v>FO-WBI-12A-GY</v>
      </c>
      <c r="M406" t="s">
        <v>1595</v>
      </c>
      <c r="N406">
        <v>1</v>
      </c>
      <c r="O406" t="s">
        <v>2</v>
      </c>
      <c r="P406">
        <v>3442</v>
      </c>
      <c r="Q406">
        <v>3442</v>
      </c>
    </row>
    <row r="407" spans="1:17" x14ac:dyDescent="0.35">
      <c r="A407" t="s">
        <v>1596</v>
      </c>
      <c r="B407" t="str">
        <f t="shared" si="24"/>
        <v>Optical connecting cord</v>
      </c>
      <c r="C407" t="str">
        <f t="shared" si="25"/>
        <v xml:space="preserve"> 2SM-3.0-SCU-SCU-15</v>
      </c>
      <c r="D407" t="str">
        <f t="shared" si="26"/>
        <v>8</v>
      </c>
      <c r="E407" t="s">
        <v>1886</v>
      </c>
      <c r="F407" t="s">
        <v>2424</v>
      </c>
      <c r="G407" t="s">
        <v>2084</v>
      </c>
      <c r="H407" t="str">
        <f t="shared" si="27"/>
        <v>2SM-3.0-SCU-SCU-15</v>
      </c>
      <c r="M407" t="s">
        <v>1597</v>
      </c>
      <c r="N407">
        <v>8</v>
      </c>
      <c r="O407" t="s">
        <v>5</v>
      </c>
      <c r="P407">
        <v>371</v>
      </c>
      <c r="Q407">
        <v>2968</v>
      </c>
    </row>
    <row r="408" spans="1:17" x14ac:dyDescent="0.35">
      <c r="A408" t="s">
        <v>1598</v>
      </c>
      <c r="B408" t="str">
        <f t="shared" si="24"/>
        <v>D 20.610.21 TV</v>
      </c>
      <c r="C408" t="str">
        <f t="shared" si="25"/>
        <v xml:space="preserve"> 125711</v>
      </c>
      <c r="D408" t="str">
        <f t="shared" si="26"/>
        <v>4</v>
      </c>
      <c r="E408" t="s">
        <v>1880</v>
      </c>
      <c r="F408" t="s">
        <v>2373</v>
      </c>
      <c r="G408" t="s">
        <v>2040</v>
      </c>
      <c r="H408" t="str">
        <f t="shared" si="27"/>
        <v>125711</v>
      </c>
      <c r="M408" t="s">
        <v>1513</v>
      </c>
      <c r="N408">
        <v>4</v>
      </c>
      <c r="O408" t="s">
        <v>2</v>
      </c>
      <c r="P408">
        <v>714.1</v>
      </c>
      <c r="Q408">
        <v>2856.4</v>
      </c>
    </row>
    <row r="409" spans="1:17" x14ac:dyDescent="0.35">
      <c r="A409" t="s">
        <v>1599</v>
      </c>
      <c r="B409" t="str">
        <f t="shared" si="24"/>
        <v>D 95.540.03 GLK</v>
      </c>
      <c r="C409" t="str">
        <f t="shared" si="25"/>
        <v xml:space="preserve"> 830811</v>
      </c>
      <c r="D409" t="str">
        <f t="shared" si="26"/>
        <v>6</v>
      </c>
      <c r="E409" t="s">
        <v>1914</v>
      </c>
      <c r="F409" t="s">
        <v>2425</v>
      </c>
      <c r="G409" t="s">
        <v>1955</v>
      </c>
      <c r="H409" t="str">
        <f t="shared" si="27"/>
        <v>830811</v>
      </c>
      <c r="M409" t="s">
        <v>1600</v>
      </c>
      <c r="N409">
        <v>6</v>
      </c>
      <c r="O409" t="s">
        <v>2</v>
      </c>
      <c r="P409">
        <v>448.7</v>
      </c>
      <c r="Q409">
        <v>2692.2</v>
      </c>
    </row>
    <row r="410" spans="1:17" x14ac:dyDescent="0.35">
      <c r="A410" t="s">
        <v>1601</v>
      </c>
      <c r="B410" t="str">
        <f t="shared" si="24"/>
        <v>D 95.610.03 UAE/1-N</v>
      </c>
      <c r="C410" t="str">
        <f t="shared" si="25"/>
        <v xml:space="preserve"> 786711</v>
      </c>
      <c r="D410" t="str">
        <f t="shared" si="26"/>
        <v>6</v>
      </c>
      <c r="E410" t="s">
        <v>1915</v>
      </c>
      <c r="F410" t="s">
        <v>2426</v>
      </c>
      <c r="G410" t="s">
        <v>1955</v>
      </c>
      <c r="H410" t="str">
        <f t="shared" si="27"/>
        <v>786711</v>
      </c>
      <c r="M410" t="s">
        <v>1602</v>
      </c>
      <c r="N410">
        <v>6</v>
      </c>
      <c r="O410" t="s">
        <v>5</v>
      </c>
      <c r="P410">
        <v>401.81818181818181</v>
      </c>
      <c r="Q410">
        <v>2410.909090909091</v>
      </c>
    </row>
    <row r="411" spans="1:17" x14ac:dyDescent="0.35">
      <c r="A411" t="s">
        <v>1603</v>
      </c>
      <c r="B411" t="str">
        <f t="shared" si="24"/>
        <v>Pigtale</v>
      </c>
      <c r="C411" t="str">
        <f t="shared" si="25"/>
        <v xml:space="preserve"> FP1B-LCUL-01H</v>
      </c>
      <c r="D411" t="str">
        <f t="shared" si="26"/>
        <v>4</v>
      </c>
      <c r="E411" t="s">
        <v>1916</v>
      </c>
      <c r="F411" t="s">
        <v>2427</v>
      </c>
      <c r="G411" t="s">
        <v>2040</v>
      </c>
      <c r="H411" t="str">
        <f t="shared" si="27"/>
        <v>FP1B-LCUL-01H</v>
      </c>
      <c r="M411" t="s">
        <v>1604</v>
      </c>
      <c r="N411">
        <v>4</v>
      </c>
      <c r="O411" t="s">
        <v>2</v>
      </c>
      <c r="P411">
        <v>588</v>
      </c>
      <c r="Q411">
        <v>2352</v>
      </c>
    </row>
    <row r="412" spans="1:17" x14ac:dyDescent="0.35">
      <c r="A412" t="s">
        <v>1605</v>
      </c>
      <c r="B412" t="str">
        <f t="shared" si="24"/>
        <v>Relay connector</v>
      </c>
      <c r="C412" t="str">
        <f t="shared" si="25"/>
        <v xml:space="preserve"> CR-M4LC</v>
      </c>
      <c r="D412" t="str">
        <f t="shared" si="26"/>
        <v>2</v>
      </c>
      <c r="E412" t="s">
        <v>1917</v>
      </c>
      <c r="F412" t="s">
        <v>2428</v>
      </c>
      <c r="G412" t="s">
        <v>1990</v>
      </c>
      <c r="H412" t="str">
        <f t="shared" si="27"/>
        <v>CR-M4LC</v>
      </c>
      <c r="M412" t="s">
        <v>1606</v>
      </c>
      <c r="N412">
        <v>2</v>
      </c>
      <c r="O412" t="s">
        <v>5</v>
      </c>
      <c r="P412">
        <v>1152</v>
      </c>
      <c r="Q412">
        <v>2304</v>
      </c>
    </row>
    <row r="413" spans="1:17" x14ac:dyDescent="0.35">
      <c r="A413" t="s">
        <v>1607</v>
      </c>
      <c r="B413" t="str">
        <f t="shared" si="24"/>
        <v>Mount for Cisco</v>
      </c>
      <c r="C413" t="str">
        <f t="shared" si="25"/>
        <v xml:space="preserve"> SNR-RMB-1UC</v>
      </c>
      <c r="D413" t="str">
        <f t="shared" si="26"/>
        <v>6</v>
      </c>
      <c r="E413" t="s">
        <v>1918</v>
      </c>
      <c r="F413" t="s">
        <v>2429</v>
      </c>
      <c r="G413" t="s">
        <v>1955</v>
      </c>
      <c r="H413" t="str">
        <f t="shared" si="27"/>
        <v>SNR-RMB-1UC</v>
      </c>
      <c r="M413" t="s">
        <v>1608</v>
      </c>
      <c r="N413">
        <v>6</v>
      </c>
      <c r="O413" t="s">
        <v>5</v>
      </c>
      <c r="P413">
        <v>378</v>
      </c>
      <c r="Q413">
        <v>2268</v>
      </c>
    </row>
    <row r="414" spans="1:17" x14ac:dyDescent="0.35">
      <c r="A414" t="s">
        <v>1609</v>
      </c>
      <c r="B414" t="str">
        <f t="shared" si="24"/>
        <v>Предохранитель плавкий, Fuse, 0.5A</v>
      </c>
      <c r="C414" t="str">
        <f t="shared" si="25"/>
        <v xml:space="preserve"> FUSE-0.5A-5X20</v>
      </c>
      <c r="D414" t="str">
        <f t="shared" si="26"/>
        <v>24</v>
      </c>
      <c r="E414" t="s">
        <v>2430</v>
      </c>
      <c r="F414" t="s">
        <v>2431</v>
      </c>
      <c r="G414" t="s">
        <v>2353</v>
      </c>
      <c r="H414" t="str">
        <f t="shared" si="27"/>
        <v>FUSE-0.5A-5X20</v>
      </c>
      <c r="M414" t="s">
        <v>1610</v>
      </c>
      <c r="N414">
        <v>24</v>
      </c>
      <c r="O414" t="s">
        <v>5</v>
      </c>
      <c r="P414">
        <v>90.791666666666671</v>
      </c>
      <c r="Q414">
        <v>2179</v>
      </c>
    </row>
    <row r="415" spans="1:17" x14ac:dyDescent="0.35">
      <c r="A415" t="s">
        <v>1611</v>
      </c>
      <c r="B415" t="str">
        <f t="shared" si="24"/>
        <v>D 95.610.03 UAE/1-N</v>
      </c>
      <c r="C415" t="str">
        <f t="shared" si="25"/>
        <v xml:space="preserve"> 786711</v>
      </c>
      <c r="D415" t="str">
        <f t="shared" si="26"/>
        <v>5</v>
      </c>
      <c r="E415" t="s">
        <v>1915</v>
      </c>
      <c r="F415" t="s">
        <v>2426</v>
      </c>
      <c r="G415" t="s">
        <v>1967</v>
      </c>
      <c r="H415" t="str">
        <f t="shared" si="27"/>
        <v>786711</v>
      </c>
      <c r="M415" t="s">
        <v>1602</v>
      </c>
      <c r="N415">
        <v>5</v>
      </c>
      <c r="O415" t="s">
        <v>5</v>
      </c>
      <c r="P415">
        <v>401.81818181818181</v>
      </c>
      <c r="Q415">
        <v>2009.090909090909</v>
      </c>
    </row>
    <row r="416" spans="1:17" x14ac:dyDescent="0.35">
      <c r="A416" t="s">
        <v>1612</v>
      </c>
      <c r="B416" t="str">
        <f t="shared" si="24"/>
        <v>D 95.610.03 KTU</v>
      </c>
      <c r="C416" t="str">
        <f t="shared" si="25"/>
        <v xml:space="preserve"> 885811</v>
      </c>
      <c r="D416" t="str">
        <f t="shared" si="26"/>
        <v>8</v>
      </c>
      <c r="E416" t="s">
        <v>1919</v>
      </c>
      <c r="F416" t="s">
        <v>2432</v>
      </c>
      <c r="G416" t="s">
        <v>2084</v>
      </c>
      <c r="H416" t="str">
        <f t="shared" si="27"/>
        <v>885811</v>
      </c>
      <c r="M416" t="s">
        <v>1613</v>
      </c>
      <c r="N416">
        <v>8</v>
      </c>
      <c r="O416" t="s">
        <v>2</v>
      </c>
      <c r="P416">
        <v>208.625</v>
      </c>
      <c r="Q416">
        <v>1669</v>
      </c>
    </row>
    <row r="417" spans="1:17" x14ac:dyDescent="0.35">
      <c r="A417" t="s">
        <v>1614</v>
      </c>
      <c r="B417" t="str">
        <f t="shared" si="24"/>
        <v>Screw with square headrest, M6x10</v>
      </c>
      <c r="C417" t="str">
        <f t="shared" si="25"/>
        <v xml:space="preserve"> CM010610</v>
      </c>
      <c r="D417" t="str">
        <f t="shared" si="26"/>
        <v>400</v>
      </c>
      <c r="E417" t="s">
        <v>2433</v>
      </c>
      <c r="F417" t="s">
        <v>2434</v>
      </c>
      <c r="G417" t="s">
        <v>2435</v>
      </c>
      <c r="H417" t="str">
        <f t="shared" si="27"/>
        <v>CM010610</v>
      </c>
      <c r="M417" t="s">
        <v>1615</v>
      </c>
      <c r="N417">
        <v>400</v>
      </c>
      <c r="O417" t="s">
        <v>5</v>
      </c>
      <c r="P417">
        <v>4.0949999999999998</v>
      </c>
      <c r="Q417">
        <v>1638</v>
      </c>
    </row>
    <row r="418" spans="1:17" x14ac:dyDescent="0.35">
      <c r="A418" t="s">
        <v>1616</v>
      </c>
      <c r="B418" t="str">
        <f t="shared" si="24"/>
        <v>Optical cord 0.9mm, 1.5m</v>
      </c>
      <c r="C418" t="str">
        <f t="shared" si="25"/>
        <v xml:space="preserve"> SM-0.9-SC-UPC-1.5</v>
      </c>
      <c r="D418" t="str">
        <f t="shared" si="26"/>
        <v>48</v>
      </c>
      <c r="E418" t="s">
        <v>2436</v>
      </c>
      <c r="F418" t="s">
        <v>2437</v>
      </c>
      <c r="G418" t="s">
        <v>2154</v>
      </c>
      <c r="H418" t="str">
        <f t="shared" si="27"/>
        <v>SM-0.9-SC-UPC-1.5</v>
      </c>
      <c r="M418" t="s">
        <v>1617</v>
      </c>
      <c r="N418">
        <v>48</v>
      </c>
      <c r="O418" t="s">
        <v>5</v>
      </c>
      <c r="P418">
        <v>32.291666666666657</v>
      </c>
      <c r="Q418">
        <v>1550</v>
      </c>
    </row>
    <row r="419" spans="1:17" x14ac:dyDescent="0.35">
      <c r="A419" t="s">
        <v>1618</v>
      </c>
      <c r="B419" t="str">
        <f t="shared" si="24"/>
        <v>Nut with us, hinder. unscrewing M6</v>
      </c>
      <c r="C419" t="str">
        <f t="shared" si="25"/>
        <v xml:space="preserve"> CM100600-RU</v>
      </c>
      <c r="D419" t="str">
        <f t="shared" si="26"/>
        <v>400</v>
      </c>
      <c r="E419" t="s">
        <v>2438</v>
      </c>
      <c r="F419" t="s">
        <v>2439</v>
      </c>
      <c r="G419" t="s">
        <v>2435</v>
      </c>
      <c r="H419" t="str">
        <f t="shared" si="27"/>
        <v>CM100600-RU</v>
      </c>
      <c r="M419" t="s">
        <v>1619</v>
      </c>
      <c r="N419">
        <v>400</v>
      </c>
      <c r="O419" t="s">
        <v>5</v>
      </c>
      <c r="P419">
        <v>3.605</v>
      </c>
      <c r="Q419">
        <v>1442</v>
      </c>
    </row>
    <row r="420" spans="1:17" x14ac:dyDescent="0.35">
      <c r="A420" t="s">
        <v>1620</v>
      </c>
      <c r="B420" t="str">
        <f t="shared" si="24"/>
        <v>Relay</v>
      </c>
      <c r="C420" t="str">
        <f t="shared" si="25"/>
        <v xml:space="preserve"> CR-M024DC2</v>
      </c>
      <c r="D420" t="str">
        <f t="shared" si="26"/>
        <v>2</v>
      </c>
      <c r="E420" t="s">
        <v>1920</v>
      </c>
      <c r="F420" t="s">
        <v>2440</v>
      </c>
      <c r="G420" t="s">
        <v>1990</v>
      </c>
      <c r="H420" t="str">
        <f t="shared" si="27"/>
        <v>CR-M024DC2</v>
      </c>
      <c r="M420" t="s">
        <v>1621</v>
      </c>
      <c r="N420">
        <v>2</v>
      </c>
      <c r="O420" t="s">
        <v>5</v>
      </c>
      <c r="P420">
        <v>676.5</v>
      </c>
      <c r="Q420">
        <v>1353</v>
      </c>
    </row>
    <row r="421" spans="1:17" x14ac:dyDescent="0.35">
      <c r="A421" t="s">
        <v>1622</v>
      </c>
      <c r="B421" t="str">
        <f t="shared" si="24"/>
        <v>POWER SUPPLY IN:100-240V OUT:24VDC 1.3A</v>
      </c>
      <c r="C421" t="str">
        <f t="shared" si="25"/>
        <v xml:space="preserve"> DCPSU-24-1.3</v>
      </c>
      <c r="D421" t="str">
        <f t="shared" si="26"/>
        <v>1</v>
      </c>
      <c r="E421" t="s">
        <v>1921</v>
      </c>
      <c r="F421" t="s">
        <v>2441</v>
      </c>
      <c r="G421" t="s">
        <v>1996</v>
      </c>
      <c r="H421" t="str">
        <f t="shared" si="27"/>
        <v>DCPSU-24-1.3</v>
      </c>
      <c r="M421" t="s">
        <v>1623</v>
      </c>
      <c r="N421">
        <v>1</v>
      </c>
      <c r="O421" t="s">
        <v>2</v>
      </c>
      <c r="P421">
        <v>1327</v>
      </c>
      <c r="Q421">
        <v>1327</v>
      </c>
    </row>
    <row r="422" spans="1:17" x14ac:dyDescent="0.35">
      <c r="A422" t="s">
        <v>1624</v>
      </c>
      <c r="B422" t="str">
        <f t="shared" si="24"/>
        <v>D 95.572.19</v>
      </c>
      <c r="C422" t="str">
        <f t="shared" si="25"/>
        <v xml:space="preserve"> 846811</v>
      </c>
      <c r="D422" t="str">
        <f t="shared" si="26"/>
        <v>2</v>
      </c>
      <c r="E422" t="s">
        <v>1922</v>
      </c>
      <c r="F422" t="s">
        <v>2442</v>
      </c>
      <c r="G422" t="s">
        <v>1990</v>
      </c>
      <c r="H422" t="str">
        <f t="shared" si="27"/>
        <v>846811</v>
      </c>
      <c r="M422" t="s">
        <v>1625</v>
      </c>
      <c r="N422">
        <v>2</v>
      </c>
      <c r="O422" t="s">
        <v>2</v>
      </c>
      <c r="P422">
        <v>559.5</v>
      </c>
      <c r="Q422">
        <v>1119</v>
      </c>
    </row>
    <row r="423" spans="1:17" x14ac:dyDescent="0.35">
      <c r="A423" t="s">
        <v>1626</v>
      </c>
      <c r="B423" t="str">
        <f t="shared" si="24"/>
        <v>D 95.244.02 T</v>
      </c>
      <c r="C423" t="str">
        <f t="shared" si="25"/>
        <v xml:space="preserve"> 887111</v>
      </c>
      <c r="D423" t="str">
        <f t="shared" si="26"/>
        <v>2</v>
      </c>
      <c r="E423" t="s">
        <v>1923</v>
      </c>
      <c r="F423" t="s">
        <v>2443</v>
      </c>
      <c r="G423" t="s">
        <v>1990</v>
      </c>
      <c r="H423" t="str">
        <f t="shared" si="27"/>
        <v>887111</v>
      </c>
      <c r="M423" t="s">
        <v>1627</v>
      </c>
      <c r="N423">
        <v>2</v>
      </c>
      <c r="O423" t="s">
        <v>2</v>
      </c>
      <c r="P423">
        <v>490.5</v>
      </c>
      <c r="Q423">
        <v>981</v>
      </c>
    </row>
    <row r="424" spans="1:17" x14ac:dyDescent="0.35">
      <c r="A424" t="s">
        <v>1628</v>
      </c>
      <c r="B424" t="str">
        <f t="shared" si="24"/>
        <v>D 95.610.26 UAE/2-N</v>
      </c>
      <c r="C424" t="str">
        <f t="shared" si="25"/>
        <v xml:space="preserve"> 778311</v>
      </c>
      <c r="D424" t="str">
        <f t="shared" si="26"/>
        <v>1</v>
      </c>
      <c r="E424" t="s">
        <v>1924</v>
      </c>
      <c r="F424" t="s">
        <v>2444</v>
      </c>
      <c r="G424" t="s">
        <v>1996</v>
      </c>
      <c r="H424" t="str">
        <f t="shared" si="27"/>
        <v>778311</v>
      </c>
      <c r="M424" t="s">
        <v>1629</v>
      </c>
      <c r="N424">
        <v>1</v>
      </c>
      <c r="O424" t="s">
        <v>2</v>
      </c>
      <c r="P424">
        <v>979</v>
      </c>
      <c r="Q424">
        <v>979</v>
      </c>
    </row>
    <row r="425" spans="1:17" x14ac:dyDescent="0.35">
      <c r="A425" t="s">
        <v>1630</v>
      </c>
      <c r="B425" t="str">
        <f t="shared" si="24"/>
        <v>D 95.610.02 KTU</v>
      </c>
      <c r="C425" t="str">
        <f t="shared" si="25"/>
        <v xml:space="preserve"> 885711</v>
      </c>
      <c r="D425" t="str">
        <f t="shared" si="26"/>
        <v>2</v>
      </c>
      <c r="E425" t="s">
        <v>1925</v>
      </c>
      <c r="F425" t="s">
        <v>2445</v>
      </c>
      <c r="G425" t="s">
        <v>1990</v>
      </c>
      <c r="H425" t="str">
        <f t="shared" si="27"/>
        <v>885711</v>
      </c>
      <c r="M425" t="s">
        <v>1631</v>
      </c>
      <c r="N425">
        <v>2</v>
      </c>
      <c r="O425" t="s">
        <v>2</v>
      </c>
      <c r="P425">
        <v>338.5</v>
      </c>
      <c r="Q425">
        <v>677</v>
      </c>
    </row>
    <row r="426" spans="1:17" x14ac:dyDescent="0.35">
      <c r="A426" t="s">
        <v>1632</v>
      </c>
      <c r="B426" t="str">
        <f t="shared" si="24"/>
        <v>Optical feed-through adapter</v>
      </c>
      <c r="C426" t="str">
        <f t="shared" si="25"/>
        <v xml:space="preserve"> CAB-010-SC-SM</v>
      </c>
      <c r="D426" t="str">
        <f t="shared" si="26"/>
        <v>48</v>
      </c>
      <c r="E426" t="s">
        <v>1926</v>
      </c>
      <c r="F426" t="s">
        <v>2446</v>
      </c>
      <c r="G426" t="s">
        <v>2154</v>
      </c>
      <c r="H426" t="str">
        <f t="shared" si="27"/>
        <v>CAB-010-SC-SM</v>
      </c>
      <c r="M426" t="s">
        <v>1633</v>
      </c>
      <c r="N426">
        <v>48</v>
      </c>
      <c r="O426" t="s">
        <v>5</v>
      </c>
      <c r="P426">
        <v>8.7291666666666661</v>
      </c>
      <c r="Q426">
        <v>419</v>
      </c>
    </row>
    <row r="427" spans="1:17" x14ac:dyDescent="0.35">
      <c r="A427" t="s">
        <v>1634</v>
      </c>
      <c r="B427" t="str">
        <f t="shared" si="24"/>
        <v>Plug</v>
      </c>
      <c r="C427" t="str">
        <f t="shared" si="25"/>
        <v xml:space="preserve"> RIC-F-BLNK-01</v>
      </c>
      <c r="D427" t="str">
        <f t="shared" si="26"/>
        <v>1</v>
      </c>
      <c r="E427" t="s">
        <v>1927</v>
      </c>
      <c r="F427" t="s">
        <v>2447</v>
      </c>
      <c r="G427" t="s">
        <v>1996</v>
      </c>
      <c r="H427" t="str">
        <f t="shared" si="27"/>
        <v>RIC-F-BLNK-01</v>
      </c>
      <c r="M427" t="s">
        <v>1635</v>
      </c>
      <c r="N427">
        <v>1</v>
      </c>
      <c r="O427" t="s">
        <v>2</v>
      </c>
      <c r="P427">
        <v>349</v>
      </c>
      <c r="Q427">
        <v>349</v>
      </c>
    </row>
    <row r="428" spans="1:17" x14ac:dyDescent="0.35">
      <c r="A428" t="s">
        <v>1636</v>
      </c>
      <c r="B428" t="str">
        <f t="shared" si="24"/>
        <v>Термоусадочная гильза, thermoliner</v>
      </c>
      <c r="C428" t="str">
        <f t="shared" si="25"/>
        <v xml:space="preserve"> KZDS</v>
      </c>
      <c r="D428" t="str">
        <f t="shared" si="26"/>
        <v>48</v>
      </c>
      <c r="E428" t="s">
        <v>2448</v>
      </c>
      <c r="F428" t="s">
        <v>2449</v>
      </c>
      <c r="G428" t="s">
        <v>2154</v>
      </c>
      <c r="H428" t="str">
        <f t="shared" si="27"/>
        <v>KZDS</v>
      </c>
      <c r="M428" t="s">
        <v>1637</v>
      </c>
      <c r="N428">
        <v>48</v>
      </c>
      <c r="O428" t="s">
        <v>5</v>
      </c>
      <c r="P428">
        <v>6.979166666666667</v>
      </c>
      <c r="Q428">
        <v>335</v>
      </c>
    </row>
    <row r="429" spans="1:17" x14ac:dyDescent="0.35">
      <c r="A429" t="s">
        <v>1638</v>
      </c>
      <c r="B429" t="str">
        <f t="shared" si="24"/>
        <v>Protective diode</v>
      </c>
      <c r="C429" t="str">
        <f t="shared" si="25"/>
        <v xml:space="preserve"> CR-P/M42</v>
      </c>
      <c r="D429" t="str">
        <f t="shared" si="26"/>
        <v>2</v>
      </c>
      <c r="E429" t="s">
        <v>1928</v>
      </c>
      <c r="F429" t="s">
        <v>2450</v>
      </c>
      <c r="G429" t="s">
        <v>1990</v>
      </c>
      <c r="H429" t="str">
        <f t="shared" si="27"/>
        <v>CR-P/M42</v>
      </c>
      <c r="M429" t="s">
        <v>1639</v>
      </c>
      <c r="N429">
        <v>2</v>
      </c>
      <c r="O429" t="s">
        <v>5</v>
      </c>
      <c r="P429">
        <v>98</v>
      </c>
      <c r="Q429">
        <v>196</v>
      </c>
    </row>
    <row r="430" spans="1:17" x14ac:dyDescent="0.35">
      <c r="A430" t="s">
        <v>1640</v>
      </c>
      <c r="B430" t="str">
        <f t="shared" si="24"/>
        <v>Clamp for fixing the relay</v>
      </c>
      <c r="C430" t="str">
        <f t="shared" si="25"/>
        <v xml:space="preserve"> CR-MH</v>
      </c>
      <c r="D430" t="str">
        <f t="shared" si="26"/>
        <v>2</v>
      </c>
      <c r="E430" t="s">
        <v>1929</v>
      </c>
      <c r="F430" t="s">
        <v>2451</v>
      </c>
      <c r="G430" t="s">
        <v>1990</v>
      </c>
      <c r="H430" t="str">
        <f t="shared" si="27"/>
        <v>CR-MH</v>
      </c>
      <c r="M430" t="s">
        <v>1641</v>
      </c>
      <c r="N430">
        <v>2</v>
      </c>
      <c r="O430" t="s">
        <v>5</v>
      </c>
      <c r="P430">
        <v>63</v>
      </c>
      <c r="Q430">
        <v>126</v>
      </c>
    </row>
    <row r="431" spans="1:17" x14ac:dyDescent="0.35">
      <c r="A431" t="s">
        <v>1642</v>
      </c>
      <c r="B431" t="str">
        <f t="shared" si="24"/>
        <v>ATR1-CONNECTING CABLE-2POL</v>
      </c>
      <c r="C431" t="str">
        <f t="shared" si="25"/>
        <v xml:space="preserve"> 280870645</v>
      </c>
      <c r="D431" t="str">
        <f t="shared" si="26"/>
        <v>6</v>
      </c>
      <c r="E431" t="s">
        <v>1930</v>
      </c>
      <c r="F431" t="s">
        <v>2452</v>
      </c>
      <c r="G431" t="s">
        <v>1955</v>
      </c>
      <c r="H431" t="str">
        <f t="shared" si="27"/>
        <v>280870645</v>
      </c>
      <c r="M431" t="s">
        <v>1643</v>
      </c>
      <c r="N431">
        <v>6</v>
      </c>
      <c r="O431" t="s">
        <v>2</v>
      </c>
      <c r="P431">
        <v>11.33333333333333</v>
      </c>
      <c r="Q431">
        <v>68</v>
      </c>
    </row>
    <row r="432" spans="1:17" x14ac:dyDescent="0.35">
      <c r="A432" t="s">
        <v>1644</v>
      </c>
      <c r="B432" t="str">
        <f t="shared" si="24"/>
        <v>D 20.672.022 T</v>
      </c>
      <c r="C432" t="str">
        <f t="shared" si="25"/>
        <v xml:space="preserve"> 00020211</v>
      </c>
      <c r="D432" t="str">
        <f t="shared" si="26"/>
        <v>20</v>
      </c>
      <c r="E432" t="s">
        <v>1931</v>
      </c>
      <c r="F432" t="s">
        <v>2453</v>
      </c>
      <c r="G432" t="s">
        <v>2078</v>
      </c>
      <c r="H432" t="str">
        <f t="shared" si="27"/>
        <v>00020211</v>
      </c>
      <c r="M432" t="s">
        <v>1645</v>
      </c>
      <c r="N432">
        <v>20</v>
      </c>
      <c r="Q432">
        <v>0</v>
      </c>
    </row>
    <row r="433" spans="1:17" x14ac:dyDescent="0.35">
      <c r="A433" t="s">
        <v>1646</v>
      </c>
      <c r="B433" t="str">
        <f t="shared" si="24"/>
        <v>Converter</v>
      </c>
      <c r="C433" t="str">
        <f t="shared" si="25"/>
        <v xml:space="preserve"> LUX 24</v>
      </c>
      <c r="D433" t="str">
        <f t="shared" si="26"/>
        <v>4</v>
      </c>
      <c r="E433" t="s">
        <v>1932</v>
      </c>
      <c r="F433" t="s">
        <v>2454</v>
      </c>
      <c r="G433" t="s">
        <v>2040</v>
      </c>
      <c r="H433" t="str">
        <f t="shared" si="27"/>
        <v>LUX 24</v>
      </c>
      <c r="M433" t="s">
        <v>1647</v>
      </c>
      <c r="N433">
        <v>4</v>
      </c>
      <c r="Q4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Евгений Бирета</cp:lastModifiedBy>
  <dcterms:created xsi:type="dcterms:W3CDTF">2015-06-05T18:19:34Z</dcterms:created>
  <dcterms:modified xsi:type="dcterms:W3CDTF">2026-03-16T12:43:38Z</dcterms:modified>
</cp:coreProperties>
</file>